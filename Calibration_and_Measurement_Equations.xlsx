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javljeni radovi\2025\IEEE TIM attempt\"/>
    </mc:Choice>
  </mc:AlternateContent>
  <xr:revisionPtr revIDLastSave="0" documentId="13_ncr:1_{F86EF1F3-69F8-4E93-8B7F-5878BD16D6FF}" xr6:coauthVersionLast="47" xr6:coauthVersionMax="47" xr10:uidLastSave="{00000000-0000-0000-0000-000000000000}"/>
  <bookViews>
    <workbookView xWindow="-24120" yWindow="-120" windowWidth="24240" windowHeight="13020" xr2:uid="{752DE112-803A-461B-9606-E30A48A100E8}"/>
  </bookViews>
  <sheets>
    <sheet name="R=560 ohm" sheetId="3" r:id="rId1"/>
    <sheet name="Apple bioimpedanc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5" l="1"/>
  <c r="I102" i="5"/>
  <c r="F102" i="5"/>
  <c r="D102" i="5"/>
  <c r="J101" i="5"/>
  <c r="I101" i="5"/>
  <c r="F101" i="5"/>
  <c r="D101" i="5"/>
  <c r="J100" i="5"/>
  <c r="I100" i="5"/>
  <c r="F100" i="5"/>
  <c r="D100" i="5"/>
  <c r="J99" i="5"/>
  <c r="I99" i="5"/>
  <c r="F99" i="5"/>
  <c r="D99" i="5"/>
  <c r="J98" i="5"/>
  <c r="I98" i="5"/>
  <c r="F98" i="5"/>
  <c r="D98" i="5"/>
  <c r="J97" i="5"/>
  <c r="I97" i="5"/>
  <c r="F97" i="5"/>
  <c r="D97" i="5"/>
  <c r="J96" i="5"/>
  <c r="I96" i="5"/>
  <c r="F96" i="5"/>
  <c r="D96" i="5"/>
  <c r="J95" i="5"/>
  <c r="I95" i="5"/>
  <c r="F95" i="5"/>
  <c r="D95" i="5"/>
  <c r="J94" i="5"/>
  <c r="I94" i="5"/>
  <c r="F94" i="5"/>
  <c r="D94" i="5"/>
  <c r="J93" i="5"/>
  <c r="I93" i="5"/>
  <c r="F93" i="5"/>
  <c r="D93" i="5"/>
  <c r="J92" i="5"/>
  <c r="I92" i="5"/>
  <c r="F92" i="5"/>
  <c r="D92" i="5"/>
  <c r="J91" i="5"/>
  <c r="I91" i="5"/>
  <c r="F91" i="5"/>
  <c r="D91" i="5"/>
  <c r="J90" i="5"/>
  <c r="I90" i="5"/>
  <c r="F90" i="5"/>
  <c r="L90" i="5" s="1"/>
  <c r="D90" i="5"/>
  <c r="J89" i="5"/>
  <c r="I89" i="5"/>
  <c r="F89" i="5"/>
  <c r="D89" i="5"/>
  <c r="J88" i="5"/>
  <c r="I88" i="5"/>
  <c r="F88" i="5"/>
  <c r="D88" i="5"/>
  <c r="J87" i="5"/>
  <c r="I87" i="5"/>
  <c r="F87" i="5"/>
  <c r="D87" i="5"/>
  <c r="J86" i="5"/>
  <c r="I86" i="5"/>
  <c r="F86" i="5"/>
  <c r="D86" i="5"/>
  <c r="J85" i="5"/>
  <c r="I85" i="5"/>
  <c r="F85" i="5"/>
  <c r="D85" i="5"/>
  <c r="J84" i="5"/>
  <c r="I84" i="5"/>
  <c r="F84" i="5"/>
  <c r="D84" i="5"/>
  <c r="J83" i="5"/>
  <c r="I83" i="5"/>
  <c r="F83" i="5"/>
  <c r="D83" i="5"/>
  <c r="J82" i="5"/>
  <c r="I82" i="5"/>
  <c r="F82" i="5"/>
  <c r="D82" i="5"/>
  <c r="J81" i="5"/>
  <c r="I81" i="5"/>
  <c r="F81" i="5"/>
  <c r="D81" i="5"/>
  <c r="J80" i="5"/>
  <c r="I80" i="5"/>
  <c r="F80" i="5"/>
  <c r="D80" i="5"/>
  <c r="J79" i="5"/>
  <c r="I79" i="5"/>
  <c r="F79" i="5"/>
  <c r="D79" i="5"/>
  <c r="J78" i="5"/>
  <c r="I78" i="5"/>
  <c r="F78" i="5"/>
  <c r="D78" i="5"/>
  <c r="J77" i="5"/>
  <c r="I77" i="5"/>
  <c r="F77" i="5"/>
  <c r="D77" i="5"/>
  <c r="J76" i="5"/>
  <c r="I76" i="5"/>
  <c r="F76" i="5"/>
  <c r="D76" i="5"/>
  <c r="J75" i="5"/>
  <c r="I75" i="5"/>
  <c r="F75" i="5"/>
  <c r="D75" i="5"/>
  <c r="J74" i="5"/>
  <c r="I74" i="5"/>
  <c r="F74" i="5"/>
  <c r="D74" i="5"/>
  <c r="J73" i="5"/>
  <c r="I73" i="5"/>
  <c r="F73" i="5"/>
  <c r="D73" i="5"/>
  <c r="J72" i="5"/>
  <c r="I72" i="5"/>
  <c r="F72" i="5"/>
  <c r="D72" i="5"/>
  <c r="J71" i="5"/>
  <c r="I71" i="5"/>
  <c r="F71" i="5"/>
  <c r="D71" i="5"/>
  <c r="J70" i="5"/>
  <c r="I70" i="5"/>
  <c r="F70" i="5"/>
  <c r="D70" i="5"/>
  <c r="J69" i="5"/>
  <c r="I69" i="5"/>
  <c r="F69" i="5"/>
  <c r="D69" i="5"/>
  <c r="J68" i="5"/>
  <c r="I68" i="5"/>
  <c r="F68" i="5"/>
  <c r="D68" i="5"/>
  <c r="J67" i="5"/>
  <c r="I67" i="5"/>
  <c r="F67" i="5"/>
  <c r="D67" i="5"/>
  <c r="J66" i="5"/>
  <c r="I66" i="5"/>
  <c r="F66" i="5"/>
  <c r="L66" i="5" s="1"/>
  <c r="D66" i="5"/>
  <c r="J65" i="5"/>
  <c r="I65" i="5"/>
  <c r="F65" i="5"/>
  <c r="D65" i="5"/>
  <c r="J64" i="5"/>
  <c r="I64" i="5"/>
  <c r="F64" i="5"/>
  <c r="D64" i="5"/>
  <c r="J63" i="5"/>
  <c r="I63" i="5"/>
  <c r="F63" i="5"/>
  <c r="D63" i="5"/>
  <c r="J62" i="5"/>
  <c r="I62" i="5"/>
  <c r="F62" i="5"/>
  <c r="L62" i="5" s="1"/>
  <c r="D62" i="5"/>
  <c r="J61" i="5"/>
  <c r="I61" i="5"/>
  <c r="F61" i="5"/>
  <c r="L61" i="5" s="1"/>
  <c r="D61" i="5"/>
  <c r="J60" i="5"/>
  <c r="I60" i="5"/>
  <c r="F60" i="5"/>
  <c r="D60" i="5"/>
  <c r="J59" i="5"/>
  <c r="I59" i="5"/>
  <c r="F59" i="5"/>
  <c r="D59" i="5"/>
  <c r="J58" i="5"/>
  <c r="I58" i="5"/>
  <c r="F58" i="5"/>
  <c r="L58" i="5" s="1"/>
  <c r="D58" i="5"/>
  <c r="J57" i="5"/>
  <c r="I57" i="5"/>
  <c r="F57" i="5"/>
  <c r="D57" i="5"/>
  <c r="J56" i="5"/>
  <c r="I56" i="5"/>
  <c r="F56" i="5"/>
  <c r="D56" i="5"/>
  <c r="J55" i="5"/>
  <c r="I55" i="5"/>
  <c r="F55" i="5"/>
  <c r="L55" i="5" s="1"/>
  <c r="D55" i="5"/>
  <c r="J54" i="5"/>
  <c r="I54" i="5"/>
  <c r="F54" i="5"/>
  <c r="D54" i="5"/>
  <c r="J53" i="5"/>
  <c r="I53" i="5"/>
  <c r="F53" i="5"/>
  <c r="L53" i="5" s="1"/>
  <c r="D53" i="5"/>
  <c r="J52" i="5"/>
  <c r="I52" i="5"/>
  <c r="F52" i="5"/>
  <c r="D52" i="5"/>
  <c r="J51" i="5"/>
  <c r="I51" i="5"/>
  <c r="F51" i="5"/>
  <c r="D51" i="5"/>
  <c r="J50" i="5"/>
  <c r="I50" i="5"/>
  <c r="F50" i="5"/>
  <c r="D50" i="5"/>
  <c r="J49" i="5"/>
  <c r="I49" i="5"/>
  <c r="F49" i="5"/>
  <c r="D49" i="5"/>
  <c r="J48" i="5"/>
  <c r="I48" i="5"/>
  <c r="F48" i="5"/>
  <c r="D48" i="5"/>
  <c r="J47" i="5"/>
  <c r="I47" i="5"/>
  <c r="F47" i="5"/>
  <c r="D47" i="5"/>
  <c r="J46" i="5"/>
  <c r="I46" i="5"/>
  <c r="F46" i="5"/>
  <c r="D46" i="5"/>
  <c r="J45" i="5"/>
  <c r="I45" i="5"/>
  <c r="F45" i="5"/>
  <c r="D45" i="5"/>
  <c r="J44" i="5"/>
  <c r="I44" i="5"/>
  <c r="F44" i="5"/>
  <c r="D44" i="5"/>
  <c r="J43" i="5"/>
  <c r="I43" i="5"/>
  <c r="F43" i="5"/>
  <c r="D43" i="5"/>
  <c r="J42" i="5"/>
  <c r="I42" i="5"/>
  <c r="F42" i="5"/>
  <c r="D42" i="5"/>
  <c r="J41" i="5"/>
  <c r="I41" i="5"/>
  <c r="F41" i="5"/>
  <c r="D41" i="5"/>
  <c r="J40" i="5"/>
  <c r="I40" i="5"/>
  <c r="F40" i="5"/>
  <c r="D40" i="5"/>
  <c r="J39" i="5"/>
  <c r="I39" i="5"/>
  <c r="F39" i="5"/>
  <c r="D39" i="5"/>
  <c r="J38" i="5"/>
  <c r="I38" i="5"/>
  <c r="F38" i="5"/>
  <c r="D38" i="5"/>
  <c r="J37" i="5"/>
  <c r="I37" i="5"/>
  <c r="F37" i="5"/>
  <c r="D37" i="5"/>
  <c r="J36" i="5"/>
  <c r="I36" i="5"/>
  <c r="F36" i="5"/>
  <c r="D36" i="5"/>
  <c r="J35" i="5"/>
  <c r="I35" i="5"/>
  <c r="F35" i="5"/>
  <c r="D35" i="5"/>
  <c r="J34" i="5"/>
  <c r="I34" i="5"/>
  <c r="F34" i="5"/>
  <c r="D34" i="5"/>
  <c r="J33" i="5"/>
  <c r="I33" i="5"/>
  <c r="F33" i="5"/>
  <c r="D33" i="5"/>
  <c r="J32" i="5"/>
  <c r="I32" i="5"/>
  <c r="F32" i="5"/>
  <c r="D32" i="5"/>
  <c r="J31" i="5"/>
  <c r="I31" i="5"/>
  <c r="F31" i="5"/>
  <c r="D31" i="5"/>
  <c r="J30" i="5"/>
  <c r="I30" i="5"/>
  <c r="F30" i="5"/>
  <c r="D30" i="5"/>
  <c r="J29" i="5"/>
  <c r="I29" i="5"/>
  <c r="F29" i="5"/>
  <c r="D29" i="5"/>
  <c r="J28" i="5"/>
  <c r="I28" i="5"/>
  <c r="F28" i="5"/>
  <c r="D28" i="5"/>
  <c r="J27" i="5"/>
  <c r="I27" i="5"/>
  <c r="F27" i="5"/>
  <c r="D27" i="5"/>
  <c r="J26" i="5"/>
  <c r="I26" i="5"/>
  <c r="F26" i="5"/>
  <c r="D26" i="5"/>
  <c r="J25" i="5"/>
  <c r="I25" i="5"/>
  <c r="F25" i="5"/>
  <c r="D25" i="5"/>
  <c r="J24" i="5"/>
  <c r="I24" i="5"/>
  <c r="F24" i="5"/>
  <c r="L24" i="5" s="1"/>
  <c r="D24" i="5"/>
  <c r="J23" i="5"/>
  <c r="I23" i="5"/>
  <c r="F23" i="5"/>
  <c r="D23" i="5"/>
  <c r="J22" i="5"/>
  <c r="I22" i="5"/>
  <c r="F22" i="5"/>
  <c r="D22" i="5"/>
  <c r="J21" i="5"/>
  <c r="I21" i="5"/>
  <c r="F21" i="5"/>
  <c r="D21" i="5"/>
  <c r="J20" i="5"/>
  <c r="I20" i="5"/>
  <c r="F20" i="5"/>
  <c r="L20" i="5" s="1"/>
  <c r="D20" i="5"/>
  <c r="J19" i="5"/>
  <c r="I19" i="5"/>
  <c r="F19" i="5"/>
  <c r="D19" i="5"/>
  <c r="J18" i="5"/>
  <c r="I18" i="5"/>
  <c r="F18" i="5"/>
  <c r="D18" i="5"/>
  <c r="J17" i="5"/>
  <c r="I17" i="5"/>
  <c r="F17" i="5"/>
  <c r="L17" i="5" s="1"/>
  <c r="D17" i="5"/>
  <c r="J16" i="5"/>
  <c r="I16" i="5"/>
  <c r="F16" i="5"/>
  <c r="D16" i="5"/>
  <c r="J15" i="5"/>
  <c r="I15" i="5"/>
  <c r="F15" i="5"/>
  <c r="D15" i="5"/>
  <c r="J14" i="5"/>
  <c r="I14" i="5"/>
  <c r="F14" i="5"/>
  <c r="D14" i="5"/>
  <c r="J13" i="5"/>
  <c r="I13" i="5"/>
  <c r="F13" i="5"/>
  <c r="D13" i="5"/>
  <c r="J12" i="5"/>
  <c r="I12" i="5"/>
  <c r="F12" i="5"/>
  <c r="D12" i="5"/>
  <c r="J11" i="5"/>
  <c r="I11" i="5"/>
  <c r="F11" i="5"/>
  <c r="D11" i="5"/>
  <c r="J10" i="5"/>
  <c r="I10" i="5"/>
  <c r="F10" i="5"/>
  <c r="D10" i="5"/>
  <c r="J9" i="5"/>
  <c r="I9" i="5"/>
  <c r="F9" i="5"/>
  <c r="D9" i="5"/>
  <c r="J8" i="5"/>
  <c r="I8" i="5"/>
  <c r="F8" i="5"/>
  <c r="D8" i="5"/>
  <c r="J7" i="5"/>
  <c r="I7" i="5"/>
  <c r="F7" i="5"/>
  <c r="D7" i="5"/>
  <c r="B3" i="5"/>
  <c r="E93" i="5" s="1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D13" i="3"/>
  <c r="F13" i="3"/>
  <c r="D14" i="3"/>
  <c r="F14" i="3"/>
  <c r="D15" i="3"/>
  <c r="F15" i="3"/>
  <c r="D16" i="3"/>
  <c r="F16" i="3"/>
  <c r="D17" i="3"/>
  <c r="F17" i="3"/>
  <c r="D18" i="3"/>
  <c r="F18" i="3"/>
  <c r="D19" i="3"/>
  <c r="F19" i="3"/>
  <c r="D20" i="3"/>
  <c r="F20" i="3"/>
  <c r="D21" i="3"/>
  <c r="F21" i="3"/>
  <c r="L21" i="3" s="1"/>
  <c r="D22" i="3"/>
  <c r="F22" i="3"/>
  <c r="D23" i="3"/>
  <c r="F23" i="3"/>
  <c r="D24" i="3"/>
  <c r="F24" i="3"/>
  <c r="D25" i="3"/>
  <c r="F25" i="3"/>
  <c r="D26" i="3"/>
  <c r="F26" i="3"/>
  <c r="D27" i="3"/>
  <c r="F27" i="3"/>
  <c r="D28" i="3"/>
  <c r="F28" i="3"/>
  <c r="D29" i="3"/>
  <c r="F29" i="3"/>
  <c r="D30" i="3"/>
  <c r="F30" i="3"/>
  <c r="D31" i="3"/>
  <c r="F31" i="3"/>
  <c r="D32" i="3"/>
  <c r="F32" i="3"/>
  <c r="D33" i="3"/>
  <c r="F33" i="3"/>
  <c r="D34" i="3"/>
  <c r="F34" i="3"/>
  <c r="D35" i="3"/>
  <c r="F35" i="3"/>
  <c r="D36" i="3"/>
  <c r="F36" i="3"/>
  <c r="D37" i="3"/>
  <c r="F37" i="3"/>
  <c r="D38" i="3"/>
  <c r="F38" i="3"/>
  <c r="D39" i="3"/>
  <c r="F39" i="3"/>
  <c r="D40" i="3"/>
  <c r="F40" i="3"/>
  <c r="D41" i="3"/>
  <c r="F41" i="3"/>
  <c r="D42" i="3"/>
  <c r="F42" i="3"/>
  <c r="D43" i="3"/>
  <c r="F43" i="3"/>
  <c r="D44" i="3"/>
  <c r="F44" i="3"/>
  <c r="D45" i="3"/>
  <c r="F45" i="3"/>
  <c r="D46" i="3"/>
  <c r="F46" i="3"/>
  <c r="D47" i="3"/>
  <c r="F47" i="3"/>
  <c r="D48" i="3"/>
  <c r="F48" i="3"/>
  <c r="D49" i="3"/>
  <c r="F49" i="3"/>
  <c r="D50" i="3"/>
  <c r="F50" i="3"/>
  <c r="D51" i="3"/>
  <c r="F51" i="3"/>
  <c r="D52" i="3"/>
  <c r="F52" i="3"/>
  <c r="D53" i="3"/>
  <c r="F53" i="3"/>
  <c r="D54" i="3"/>
  <c r="F54" i="3"/>
  <c r="D55" i="3"/>
  <c r="F55" i="3"/>
  <c r="D56" i="3"/>
  <c r="F56" i="3"/>
  <c r="D57" i="3"/>
  <c r="F57" i="3"/>
  <c r="D58" i="3"/>
  <c r="F58" i="3"/>
  <c r="D59" i="3"/>
  <c r="F59" i="3"/>
  <c r="D60" i="3"/>
  <c r="F60" i="3"/>
  <c r="D61" i="3"/>
  <c r="F61" i="3"/>
  <c r="D62" i="3"/>
  <c r="F62" i="3"/>
  <c r="D63" i="3"/>
  <c r="F63" i="3"/>
  <c r="D64" i="3"/>
  <c r="F64" i="3"/>
  <c r="D65" i="3"/>
  <c r="F65" i="3"/>
  <c r="D66" i="3"/>
  <c r="F66" i="3"/>
  <c r="D67" i="3"/>
  <c r="F67" i="3"/>
  <c r="D68" i="3"/>
  <c r="F68" i="3"/>
  <c r="D69" i="3"/>
  <c r="F69" i="3"/>
  <c r="D70" i="3"/>
  <c r="F70" i="3"/>
  <c r="D71" i="3"/>
  <c r="F71" i="3"/>
  <c r="D72" i="3"/>
  <c r="F72" i="3"/>
  <c r="D73" i="3"/>
  <c r="F73" i="3"/>
  <c r="D74" i="3"/>
  <c r="F74" i="3"/>
  <c r="D75" i="3"/>
  <c r="F75" i="3"/>
  <c r="D76" i="3"/>
  <c r="F76" i="3"/>
  <c r="D77" i="3"/>
  <c r="F77" i="3"/>
  <c r="D78" i="3"/>
  <c r="F78" i="3"/>
  <c r="D79" i="3"/>
  <c r="F79" i="3"/>
  <c r="D80" i="3"/>
  <c r="F80" i="3"/>
  <c r="D81" i="3"/>
  <c r="F81" i="3"/>
  <c r="D82" i="3"/>
  <c r="F82" i="3"/>
  <c r="D83" i="3"/>
  <c r="F83" i="3"/>
  <c r="D84" i="3"/>
  <c r="F84" i="3"/>
  <c r="D85" i="3"/>
  <c r="F85" i="3"/>
  <c r="D86" i="3"/>
  <c r="F86" i="3"/>
  <c r="D87" i="3"/>
  <c r="F87" i="3"/>
  <c r="D88" i="3"/>
  <c r="F88" i="3"/>
  <c r="D89" i="3"/>
  <c r="F89" i="3"/>
  <c r="D90" i="3"/>
  <c r="F90" i="3"/>
  <c r="D91" i="3"/>
  <c r="F91" i="3"/>
  <c r="D92" i="3"/>
  <c r="F92" i="3"/>
  <c r="D93" i="3"/>
  <c r="F93" i="3"/>
  <c r="D94" i="3"/>
  <c r="F94" i="3"/>
  <c r="D95" i="3"/>
  <c r="F95" i="3"/>
  <c r="D96" i="3"/>
  <c r="F96" i="3"/>
  <c r="D97" i="3"/>
  <c r="F97" i="3"/>
  <c r="D98" i="3"/>
  <c r="F98" i="3"/>
  <c r="D99" i="3"/>
  <c r="F99" i="3"/>
  <c r="D100" i="3"/>
  <c r="F100" i="3"/>
  <c r="D101" i="3"/>
  <c r="F101" i="3"/>
  <c r="D102" i="3"/>
  <c r="F102" i="3"/>
  <c r="J12" i="3"/>
  <c r="I12" i="3"/>
  <c r="F12" i="3"/>
  <c r="D12" i="3"/>
  <c r="J11" i="3"/>
  <c r="I11" i="3"/>
  <c r="F11" i="3"/>
  <c r="D11" i="3"/>
  <c r="J10" i="3"/>
  <c r="I10" i="3"/>
  <c r="F10" i="3"/>
  <c r="L10" i="3" s="1"/>
  <c r="D10" i="3"/>
  <c r="J9" i="3"/>
  <c r="I9" i="3"/>
  <c r="F9" i="3"/>
  <c r="D9" i="3"/>
  <c r="J8" i="3"/>
  <c r="I8" i="3"/>
  <c r="F8" i="3"/>
  <c r="D8" i="3"/>
  <c r="J7" i="3"/>
  <c r="I7" i="3"/>
  <c r="F7" i="3"/>
  <c r="L7" i="3" s="1"/>
  <c r="D7" i="3"/>
  <c r="B3" i="3"/>
  <c r="L71" i="5" l="1"/>
  <c r="L77" i="5"/>
  <c r="L21" i="5"/>
  <c r="L64" i="5"/>
  <c r="L73" i="5"/>
  <c r="L76" i="5"/>
  <c r="L82" i="5"/>
  <c r="L85" i="5"/>
  <c r="L88" i="5"/>
  <c r="L100" i="5"/>
  <c r="L26" i="5"/>
  <c r="L35" i="5"/>
  <c r="L38" i="5"/>
  <c r="L15" i="5"/>
  <c r="L18" i="5"/>
  <c r="L50" i="5"/>
  <c r="L80" i="5"/>
  <c r="L83" i="5"/>
  <c r="L92" i="5"/>
  <c r="L101" i="5"/>
  <c r="L59" i="5"/>
  <c r="E54" i="5"/>
  <c r="L33" i="5"/>
  <c r="L36" i="5"/>
  <c r="E31" i="5"/>
  <c r="K31" i="5" s="1"/>
  <c r="L48" i="5"/>
  <c r="L31" i="5"/>
  <c r="L34" i="5"/>
  <c r="L37" i="5"/>
  <c r="L40" i="5"/>
  <c r="E43" i="5"/>
  <c r="L43" i="5"/>
  <c r="L46" i="5"/>
  <c r="L49" i="5"/>
  <c r="L72" i="5"/>
  <c r="L75" i="5"/>
  <c r="L96" i="5"/>
  <c r="L25" i="5"/>
  <c r="L28" i="5"/>
  <c r="L54" i="5"/>
  <c r="L68" i="5"/>
  <c r="L74" i="5"/>
  <c r="E66" i="5"/>
  <c r="K66" i="5" s="1"/>
  <c r="K43" i="5"/>
  <c r="L60" i="5"/>
  <c r="E78" i="5"/>
  <c r="K78" i="5" s="1"/>
  <c r="K54" i="5"/>
  <c r="M54" i="5" s="1"/>
  <c r="L11" i="5"/>
  <c r="L14" i="5"/>
  <c r="L29" i="5"/>
  <c r="E55" i="5"/>
  <c r="L69" i="5"/>
  <c r="L86" i="5"/>
  <c r="L89" i="5"/>
  <c r="L65" i="5"/>
  <c r="E18" i="5"/>
  <c r="K18" i="5" s="1"/>
  <c r="L23" i="5"/>
  <c r="L32" i="5"/>
  <c r="L52" i="5"/>
  <c r="L63" i="5"/>
  <c r="E90" i="5"/>
  <c r="K90" i="5" s="1"/>
  <c r="N90" i="5" s="1"/>
  <c r="L95" i="5"/>
  <c r="L98" i="5"/>
  <c r="K55" i="5"/>
  <c r="N55" i="5" s="1"/>
  <c r="E30" i="5"/>
  <c r="K30" i="5" s="1"/>
  <c r="E67" i="5"/>
  <c r="K67" i="5" s="1"/>
  <c r="E102" i="5"/>
  <c r="K102" i="5" s="1"/>
  <c r="L9" i="5"/>
  <c r="L12" i="5"/>
  <c r="L27" i="5"/>
  <c r="L30" i="5"/>
  <c r="E42" i="5"/>
  <c r="K42" i="5" s="1"/>
  <c r="L47" i="5"/>
  <c r="L67" i="5"/>
  <c r="L70" i="5"/>
  <c r="E79" i="5"/>
  <c r="K79" i="5" s="1"/>
  <c r="L84" i="5"/>
  <c r="L87" i="5"/>
  <c r="L102" i="5"/>
  <c r="L94" i="5"/>
  <c r="E7" i="5"/>
  <c r="K7" i="5" s="1"/>
  <c r="L39" i="5"/>
  <c r="L42" i="5"/>
  <c r="L56" i="5"/>
  <c r="L79" i="5"/>
  <c r="L99" i="5"/>
  <c r="L7" i="5"/>
  <c r="L16" i="5"/>
  <c r="E19" i="5"/>
  <c r="K19" i="5" s="1"/>
  <c r="L45" i="5"/>
  <c r="E91" i="5"/>
  <c r="K91" i="5" s="1"/>
  <c r="L15" i="3"/>
  <c r="L18" i="3"/>
  <c r="L93" i="5"/>
  <c r="L10" i="5"/>
  <c r="L51" i="5"/>
  <c r="L13" i="5"/>
  <c r="L91" i="5"/>
  <c r="L41" i="5"/>
  <c r="L57" i="5"/>
  <c r="L78" i="5"/>
  <c r="L8" i="5"/>
  <c r="L19" i="5"/>
  <c r="L22" i="5"/>
  <c r="L44" i="5"/>
  <c r="L81" i="5"/>
  <c r="L97" i="5"/>
  <c r="K92" i="5"/>
  <c r="K93" i="5"/>
  <c r="E8" i="5"/>
  <c r="K8" i="5" s="1"/>
  <c r="E20" i="5"/>
  <c r="K20" i="5" s="1"/>
  <c r="E32" i="5"/>
  <c r="K32" i="5" s="1"/>
  <c r="E44" i="5"/>
  <c r="K44" i="5" s="1"/>
  <c r="E56" i="5"/>
  <c r="K56" i="5" s="1"/>
  <c r="E68" i="5"/>
  <c r="K68" i="5" s="1"/>
  <c r="E80" i="5"/>
  <c r="K80" i="5" s="1"/>
  <c r="E92" i="5"/>
  <c r="E17" i="5"/>
  <c r="K17" i="5" s="1"/>
  <c r="E29" i="5"/>
  <c r="K29" i="5" s="1"/>
  <c r="E41" i="5"/>
  <c r="K41" i="5" s="1"/>
  <c r="E53" i="5"/>
  <c r="K53" i="5" s="1"/>
  <c r="E65" i="5"/>
  <c r="K65" i="5" s="1"/>
  <c r="E77" i="5"/>
  <c r="K77" i="5" s="1"/>
  <c r="E89" i="5"/>
  <c r="K89" i="5" s="1"/>
  <c r="E101" i="5"/>
  <c r="K101" i="5" s="1"/>
  <c r="E16" i="5"/>
  <c r="K16" i="5" s="1"/>
  <c r="E28" i="5"/>
  <c r="K28" i="5" s="1"/>
  <c r="E40" i="5"/>
  <c r="K40" i="5" s="1"/>
  <c r="E52" i="5"/>
  <c r="K52" i="5" s="1"/>
  <c r="E64" i="5"/>
  <c r="K64" i="5" s="1"/>
  <c r="E76" i="5"/>
  <c r="K76" i="5" s="1"/>
  <c r="E88" i="5"/>
  <c r="K88" i="5" s="1"/>
  <c r="E100" i="5"/>
  <c r="K100" i="5" s="1"/>
  <c r="E15" i="5"/>
  <c r="K15" i="5" s="1"/>
  <c r="E27" i="5"/>
  <c r="K27" i="5" s="1"/>
  <c r="E39" i="5"/>
  <c r="K39" i="5" s="1"/>
  <c r="E51" i="5"/>
  <c r="K51" i="5" s="1"/>
  <c r="E63" i="5"/>
  <c r="K63" i="5" s="1"/>
  <c r="E75" i="5"/>
  <c r="K75" i="5" s="1"/>
  <c r="E87" i="5"/>
  <c r="K87" i="5" s="1"/>
  <c r="E99" i="5"/>
  <c r="K99" i="5" s="1"/>
  <c r="E14" i="5"/>
  <c r="K14" i="5" s="1"/>
  <c r="E26" i="5"/>
  <c r="K26" i="5" s="1"/>
  <c r="E38" i="5"/>
  <c r="K38" i="5" s="1"/>
  <c r="E50" i="5"/>
  <c r="K50" i="5" s="1"/>
  <c r="E62" i="5"/>
  <c r="K62" i="5" s="1"/>
  <c r="E74" i="5"/>
  <c r="K74" i="5" s="1"/>
  <c r="E86" i="5"/>
  <c r="K86" i="5" s="1"/>
  <c r="E98" i="5"/>
  <c r="K98" i="5" s="1"/>
  <c r="E13" i="5"/>
  <c r="K13" i="5" s="1"/>
  <c r="E25" i="5"/>
  <c r="K25" i="5" s="1"/>
  <c r="E37" i="5"/>
  <c r="K37" i="5" s="1"/>
  <c r="E49" i="5"/>
  <c r="K49" i="5" s="1"/>
  <c r="E61" i="5"/>
  <c r="K61" i="5" s="1"/>
  <c r="E73" i="5"/>
  <c r="K73" i="5" s="1"/>
  <c r="E85" i="5"/>
  <c r="K85" i="5" s="1"/>
  <c r="E97" i="5"/>
  <c r="K97" i="5" s="1"/>
  <c r="E12" i="5"/>
  <c r="K12" i="5" s="1"/>
  <c r="E24" i="5"/>
  <c r="K24" i="5" s="1"/>
  <c r="E36" i="5"/>
  <c r="K36" i="5" s="1"/>
  <c r="E48" i="5"/>
  <c r="K48" i="5" s="1"/>
  <c r="E60" i="5"/>
  <c r="K60" i="5" s="1"/>
  <c r="E72" i="5"/>
  <c r="K72" i="5" s="1"/>
  <c r="E84" i="5"/>
  <c r="K84" i="5" s="1"/>
  <c r="E96" i="5"/>
  <c r="K96" i="5" s="1"/>
  <c r="E11" i="5"/>
  <c r="K11" i="5" s="1"/>
  <c r="E23" i="5"/>
  <c r="K23" i="5" s="1"/>
  <c r="E35" i="5"/>
  <c r="K35" i="5" s="1"/>
  <c r="E47" i="5"/>
  <c r="K47" i="5" s="1"/>
  <c r="E59" i="5"/>
  <c r="K59" i="5" s="1"/>
  <c r="E71" i="5"/>
  <c r="K71" i="5" s="1"/>
  <c r="E83" i="5"/>
  <c r="K83" i="5" s="1"/>
  <c r="E95" i="5"/>
  <c r="K95" i="5" s="1"/>
  <c r="E10" i="5"/>
  <c r="K10" i="5" s="1"/>
  <c r="E22" i="5"/>
  <c r="K22" i="5" s="1"/>
  <c r="E34" i="5"/>
  <c r="K34" i="5" s="1"/>
  <c r="E46" i="5"/>
  <c r="K46" i="5" s="1"/>
  <c r="E58" i="5"/>
  <c r="K58" i="5" s="1"/>
  <c r="E70" i="5"/>
  <c r="K70" i="5" s="1"/>
  <c r="E82" i="5"/>
  <c r="K82" i="5" s="1"/>
  <c r="E94" i="5"/>
  <c r="K94" i="5" s="1"/>
  <c r="E9" i="5"/>
  <c r="K9" i="5" s="1"/>
  <c r="E21" i="5"/>
  <c r="K21" i="5" s="1"/>
  <c r="E33" i="5"/>
  <c r="K33" i="5" s="1"/>
  <c r="E45" i="5"/>
  <c r="K45" i="5" s="1"/>
  <c r="E57" i="5"/>
  <c r="K57" i="5" s="1"/>
  <c r="E69" i="5"/>
  <c r="K69" i="5" s="1"/>
  <c r="E81" i="5"/>
  <c r="K81" i="5" s="1"/>
  <c r="E47" i="3"/>
  <c r="L9" i="3"/>
  <c r="K47" i="3"/>
  <c r="L17" i="3"/>
  <c r="L94" i="3"/>
  <c r="L76" i="3"/>
  <c r="L22" i="3"/>
  <c r="L58" i="3"/>
  <c r="L99" i="3"/>
  <c r="L93" i="3"/>
  <c r="L87" i="3"/>
  <c r="L81" i="3"/>
  <c r="L75" i="3"/>
  <c r="L69" i="3"/>
  <c r="L63" i="3"/>
  <c r="L57" i="3"/>
  <c r="L51" i="3"/>
  <c r="L45" i="3"/>
  <c r="L39" i="3"/>
  <c r="L33" i="3"/>
  <c r="L27" i="3"/>
  <c r="L16" i="3"/>
  <c r="L100" i="3"/>
  <c r="L82" i="3"/>
  <c r="L70" i="3"/>
  <c r="L64" i="3"/>
  <c r="L28" i="3"/>
  <c r="L11" i="3"/>
  <c r="L98" i="3"/>
  <c r="L92" i="3"/>
  <c r="L86" i="3"/>
  <c r="L80" i="3"/>
  <c r="L74" i="3"/>
  <c r="L68" i="3"/>
  <c r="L62" i="3"/>
  <c r="L56" i="3"/>
  <c r="L50" i="3"/>
  <c r="L44" i="3"/>
  <c r="L38" i="3"/>
  <c r="L32" i="3"/>
  <c r="L26" i="3"/>
  <c r="L52" i="3"/>
  <c r="L20" i="3"/>
  <c r="L46" i="3"/>
  <c r="L97" i="3"/>
  <c r="L91" i="3"/>
  <c r="L85" i="3"/>
  <c r="L79" i="3"/>
  <c r="L73" i="3"/>
  <c r="L67" i="3"/>
  <c r="L61" i="3"/>
  <c r="L55" i="3"/>
  <c r="L49" i="3"/>
  <c r="L43" i="3"/>
  <c r="L37" i="3"/>
  <c r="L31" i="3"/>
  <c r="L25" i="3"/>
  <c r="L88" i="3"/>
  <c r="L34" i="3"/>
  <c r="L19" i="3"/>
  <c r="L14" i="3"/>
  <c r="L40" i="3"/>
  <c r="L102" i="3"/>
  <c r="L96" i="3"/>
  <c r="L90" i="3"/>
  <c r="L84" i="3"/>
  <c r="L78" i="3"/>
  <c r="L72" i="3"/>
  <c r="L66" i="3"/>
  <c r="L60" i="3"/>
  <c r="L54" i="3"/>
  <c r="L48" i="3"/>
  <c r="L42" i="3"/>
  <c r="L36" i="3"/>
  <c r="L30" i="3"/>
  <c r="L24" i="3"/>
  <c r="L13" i="3"/>
  <c r="L101" i="3"/>
  <c r="L95" i="3"/>
  <c r="L89" i="3"/>
  <c r="L83" i="3"/>
  <c r="L77" i="3"/>
  <c r="L71" i="3"/>
  <c r="L65" i="3"/>
  <c r="L59" i="3"/>
  <c r="L53" i="3"/>
  <c r="L47" i="3"/>
  <c r="N47" i="3" s="1"/>
  <c r="L41" i="3"/>
  <c r="L35" i="3"/>
  <c r="L29" i="3"/>
  <c r="L23" i="3"/>
  <c r="L8" i="3"/>
  <c r="L12" i="3"/>
  <c r="E87" i="3"/>
  <c r="K87" i="3" s="1"/>
  <c r="E66" i="3"/>
  <c r="K66" i="3" s="1"/>
  <c r="E55" i="3"/>
  <c r="K55" i="3" s="1"/>
  <c r="E50" i="3"/>
  <c r="K50" i="3" s="1"/>
  <c r="E39" i="3"/>
  <c r="K39" i="3" s="1"/>
  <c r="E34" i="3"/>
  <c r="K34" i="3" s="1"/>
  <c r="E23" i="3"/>
  <c r="K23" i="3" s="1"/>
  <c r="E18" i="3"/>
  <c r="K18" i="3" s="1"/>
  <c r="E76" i="3"/>
  <c r="K76" i="3" s="1"/>
  <c r="E102" i="3"/>
  <c r="K102" i="3" s="1"/>
  <c r="E86" i="3"/>
  <c r="K86" i="3" s="1"/>
  <c r="E22" i="3"/>
  <c r="K22" i="3" s="1"/>
  <c r="E71" i="3"/>
  <c r="K71" i="3" s="1"/>
  <c r="E17" i="3"/>
  <c r="K17" i="3" s="1"/>
  <c r="E91" i="3"/>
  <c r="K91" i="3" s="1"/>
  <c r="E75" i="3"/>
  <c r="K75" i="3" s="1"/>
  <c r="E70" i="3"/>
  <c r="K70" i="3" s="1"/>
  <c r="E59" i="3"/>
  <c r="K59" i="3" s="1"/>
  <c r="E54" i="3"/>
  <c r="K54" i="3" s="1"/>
  <c r="E43" i="3"/>
  <c r="K43" i="3" s="1"/>
  <c r="E38" i="3"/>
  <c r="K38" i="3" s="1"/>
  <c r="E27" i="3"/>
  <c r="K27" i="3" s="1"/>
  <c r="E96" i="3"/>
  <c r="K96" i="3" s="1"/>
  <c r="E80" i="3"/>
  <c r="K80" i="3" s="1"/>
  <c r="E64" i="3"/>
  <c r="K64" i="3" s="1"/>
  <c r="E48" i="3"/>
  <c r="K48" i="3" s="1"/>
  <c r="E32" i="3"/>
  <c r="K32" i="3" s="1"/>
  <c r="E16" i="3"/>
  <c r="K16" i="3" s="1"/>
  <c r="E21" i="3"/>
  <c r="K21" i="3" s="1"/>
  <c r="E79" i="3"/>
  <c r="K79" i="3" s="1"/>
  <c r="E63" i="3"/>
  <c r="K63" i="3" s="1"/>
  <c r="E31" i="3"/>
  <c r="K31" i="3" s="1"/>
  <c r="E26" i="3"/>
  <c r="K26" i="3" s="1"/>
  <c r="E15" i="3"/>
  <c r="K15" i="3" s="1"/>
  <c r="E60" i="3"/>
  <c r="K60" i="3" s="1"/>
  <c r="E101" i="3"/>
  <c r="K101" i="3" s="1"/>
  <c r="E20" i="3"/>
  <c r="K20" i="3" s="1"/>
  <c r="M20" i="3" s="1"/>
  <c r="E28" i="3"/>
  <c r="K28" i="3" s="1"/>
  <c r="E97" i="3"/>
  <c r="K97" i="3" s="1"/>
  <c r="E11" i="3"/>
  <c r="K11" i="3" s="1"/>
  <c r="E37" i="3"/>
  <c r="K37" i="3" s="1"/>
  <c r="E42" i="3"/>
  <c r="K42" i="3" s="1"/>
  <c r="E89" i="3"/>
  <c r="K89" i="3" s="1"/>
  <c r="E73" i="3"/>
  <c r="K73" i="3" s="1"/>
  <c r="E57" i="3"/>
  <c r="K57" i="3" s="1"/>
  <c r="E41" i="3"/>
  <c r="K41" i="3" s="1"/>
  <c r="E25" i="3"/>
  <c r="K25" i="3" s="1"/>
  <c r="E98" i="3"/>
  <c r="K98" i="3" s="1"/>
  <c r="E65" i="3"/>
  <c r="K65" i="3" s="1"/>
  <c r="E49" i="3"/>
  <c r="K49" i="3" s="1"/>
  <c r="E69" i="3"/>
  <c r="K69" i="3" s="1"/>
  <c r="E58" i="3"/>
  <c r="K58" i="3" s="1"/>
  <c r="M58" i="3" s="1"/>
  <c r="E36" i="3"/>
  <c r="K36" i="3" s="1"/>
  <c r="E99" i="3"/>
  <c r="K99" i="3" s="1"/>
  <c r="E94" i="3"/>
  <c r="K94" i="3" s="1"/>
  <c r="E83" i="3"/>
  <c r="K83" i="3" s="1"/>
  <c r="E78" i="3"/>
  <c r="K78" i="3" s="1"/>
  <c r="E67" i="3"/>
  <c r="K67" i="3" s="1"/>
  <c r="E62" i="3"/>
  <c r="K62" i="3" s="1"/>
  <c r="E51" i="3"/>
  <c r="K51" i="3" s="1"/>
  <c r="E46" i="3"/>
  <c r="K46" i="3" s="1"/>
  <c r="E35" i="3"/>
  <c r="K35" i="3" s="1"/>
  <c r="E30" i="3"/>
  <c r="K30" i="3" s="1"/>
  <c r="E19" i="3"/>
  <c r="K19" i="3" s="1"/>
  <c r="E14" i="3"/>
  <c r="K14" i="3" s="1"/>
  <c r="E44" i="3"/>
  <c r="K44" i="3" s="1"/>
  <c r="E81" i="3"/>
  <c r="K81" i="3" s="1"/>
  <c r="E85" i="3"/>
  <c r="K85" i="3" s="1"/>
  <c r="E53" i="3"/>
  <c r="K53" i="3" s="1"/>
  <c r="E90" i="3"/>
  <c r="K90" i="3" s="1"/>
  <c r="E74" i="3"/>
  <c r="K74" i="3" s="1"/>
  <c r="E84" i="3"/>
  <c r="K84" i="3" s="1"/>
  <c r="E52" i="3"/>
  <c r="K52" i="3" s="1"/>
  <c r="E12" i="3"/>
  <c r="K12" i="3" s="1"/>
  <c r="E88" i="3"/>
  <c r="K88" i="3" s="1"/>
  <c r="E72" i="3"/>
  <c r="K72" i="3" s="1"/>
  <c r="E56" i="3"/>
  <c r="K56" i="3" s="1"/>
  <c r="E40" i="3"/>
  <c r="K40" i="3" s="1"/>
  <c r="E24" i="3"/>
  <c r="K24" i="3" s="1"/>
  <c r="E82" i="3"/>
  <c r="K82" i="3" s="1"/>
  <c r="E92" i="3"/>
  <c r="K92" i="3" s="1"/>
  <c r="E33" i="3"/>
  <c r="K33" i="3" s="1"/>
  <c r="E95" i="3"/>
  <c r="K95" i="3" s="1"/>
  <c r="E100" i="3"/>
  <c r="K100" i="3" s="1"/>
  <c r="E68" i="3"/>
  <c r="K68" i="3" s="1"/>
  <c r="M68" i="3" s="1"/>
  <c r="E93" i="3"/>
  <c r="K93" i="3" s="1"/>
  <c r="E77" i="3"/>
  <c r="K77" i="3" s="1"/>
  <c r="E61" i="3"/>
  <c r="K61" i="3" s="1"/>
  <c r="E45" i="3"/>
  <c r="K45" i="3" s="1"/>
  <c r="E29" i="3"/>
  <c r="K29" i="3" s="1"/>
  <c r="E13" i="3"/>
  <c r="K13" i="3" s="1"/>
  <c r="E10" i="3"/>
  <c r="K10" i="3" s="1"/>
  <c r="E9" i="3"/>
  <c r="K9" i="3" s="1"/>
  <c r="E8" i="3"/>
  <c r="K8" i="3" s="1"/>
  <c r="E7" i="3"/>
  <c r="K7" i="3" s="1"/>
  <c r="N43" i="5" l="1"/>
  <c r="N31" i="5"/>
  <c r="M31" i="5"/>
  <c r="O31" i="5" s="1"/>
  <c r="N54" i="5"/>
  <c r="O54" i="5" s="1"/>
  <c r="N91" i="5"/>
  <c r="N7" i="5"/>
  <c r="P7" i="5" s="1"/>
  <c r="M7" i="5"/>
  <c r="O7" i="5" s="1"/>
  <c r="N78" i="5"/>
  <c r="M78" i="5"/>
  <c r="O78" i="5" s="1"/>
  <c r="N67" i="5"/>
  <c r="P67" i="5" s="1"/>
  <c r="M67" i="5"/>
  <c r="M79" i="5"/>
  <c r="N79" i="5"/>
  <c r="N66" i="5"/>
  <c r="M66" i="5"/>
  <c r="N19" i="5"/>
  <c r="M19" i="5"/>
  <c r="M91" i="5"/>
  <c r="O91" i="5" s="1"/>
  <c r="M90" i="5"/>
  <c r="O90" i="5" s="1"/>
  <c r="M43" i="5"/>
  <c r="P43" i="5" s="1"/>
  <c r="M55" i="5"/>
  <c r="P55" i="5" s="1"/>
  <c r="P78" i="5"/>
  <c r="N33" i="5"/>
  <c r="M33" i="5"/>
  <c r="N86" i="5"/>
  <c r="M86" i="5"/>
  <c r="O86" i="5" s="1"/>
  <c r="M39" i="5"/>
  <c r="N39" i="5"/>
  <c r="N89" i="5"/>
  <c r="M89" i="5"/>
  <c r="N32" i="5"/>
  <c r="M32" i="5"/>
  <c r="M12" i="5"/>
  <c r="N12" i="5"/>
  <c r="N62" i="5"/>
  <c r="M62" i="5"/>
  <c r="M15" i="5"/>
  <c r="N15" i="5"/>
  <c r="P15" i="5" s="1"/>
  <c r="N65" i="5"/>
  <c r="M65" i="5"/>
  <c r="N8" i="5"/>
  <c r="M8" i="5"/>
  <c r="N53" i="5"/>
  <c r="M53" i="5"/>
  <c r="N17" i="5"/>
  <c r="M17" i="5"/>
  <c r="N26" i="5"/>
  <c r="M26" i="5"/>
  <c r="N29" i="5"/>
  <c r="M29" i="5"/>
  <c r="O29" i="5" s="1"/>
  <c r="M96" i="5"/>
  <c r="N96" i="5"/>
  <c r="N80" i="5"/>
  <c r="M80" i="5"/>
  <c r="M50" i="5"/>
  <c r="N50" i="5"/>
  <c r="N73" i="5"/>
  <c r="M73" i="5"/>
  <c r="N14" i="5"/>
  <c r="M14" i="5"/>
  <c r="N16" i="5"/>
  <c r="M16" i="5"/>
  <c r="O16" i="5" s="1"/>
  <c r="M36" i="5"/>
  <c r="N36" i="5"/>
  <c r="N21" i="5"/>
  <c r="M21" i="5"/>
  <c r="M24" i="5"/>
  <c r="N24" i="5"/>
  <c r="M27" i="5"/>
  <c r="N27" i="5"/>
  <c r="N77" i="5"/>
  <c r="M77" i="5"/>
  <c r="N20" i="5"/>
  <c r="M20" i="5"/>
  <c r="O20" i="5" s="1"/>
  <c r="N59" i="5"/>
  <c r="M59" i="5"/>
  <c r="O59" i="5" s="1"/>
  <c r="N101" i="5"/>
  <c r="M101" i="5"/>
  <c r="N94" i="5"/>
  <c r="M94" i="5"/>
  <c r="N47" i="5"/>
  <c r="M47" i="5"/>
  <c r="N100" i="5"/>
  <c r="M100" i="5"/>
  <c r="P31" i="5"/>
  <c r="N69" i="5"/>
  <c r="M69" i="5"/>
  <c r="N82" i="5"/>
  <c r="M82" i="5"/>
  <c r="N35" i="5"/>
  <c r="M35" i="5"/>
  <c r="N88" i="5"/>
  <c r="M88" i="5"/>
  <c r="N9" i="5"/>
  <c r="M9" i="5"/>
  <c r="N58" i="5"/>
  <c r="M58" i="5"/>
  <c r="N46" i="5"/>
  <c r="M46" i="5"/>
  <c r="N81" i="5"/>
  <c r="M81" i="5"/>
  <c r="N23" i="5"/>
  <c r="M23" i="5"/>
  <c r="N74" i="5"/>
  <c r="M74" i="5"/>
  <c r="N70" i="5"/>
  <c r="M70" i="5"/>
  <c r="N97" i="5"/>
  <c r="M97" i="5"/>
  <c r="N61" i="5"/>
  <c r="M61" i="5"/>
  <c r="N64" i="5"/>
  <c r="M64" i="5"/>
  <c r="N57" i="5"/>
  <c r="M57" i="5"/>
  <c r="N92" i="5"/>
  <c r="M92" i="5"/>
  <c r="M49" i="5"/>
  <c r="N49" i="5"/>
  <c r="M99" i="5"/>
  <c r="N99" i="5"/>
  <c r="N41" i="5"/>
  <c r="M41" i="5"/>
  <c r="O41" i="5" s="1"/>
  <c r="N38" i="5"/>
  <c r="M38" i="5"/>
  <c r="N68" i="5"/>
  <c r="M68" i="5"/>
  <c r="N34" i="5"/>
  <c r="M34" i="5"/>
  <c r="M84" i="5"/>
  <c r="N84" i="5"/>
  <c r="M37" i="5"/>
  <c r="N37" i="5"/>
  <c r="M87" i="5"/>
  <c r="N87" i="5"/>
  <c r="P87" i="5" s="1"/>
  <c r="N30" i="5"/>
  <c r="M30" i="5"/>
  <c r="N18" i="5"/>
  <c r="M18" i="5"/>
  <c r="N22" i="5"/>
  <c r="M22" i="5"/>
  <c r="M72" i="5"/>
  <c r="N72" i="5"/>
  <c r="M25" i="5"/>
  <c r="N25" i="5"/>
  <c r="M75" i="5"/>
  <c r="N75" i="5"/>
  <c r="P75" i="5" s="1"/>
  <c r="N76" i="5"/>
  <c r="M76" i="5"/>
  <c r="N56" i="5"/>
  <c r="M56" i="5"/>
  <c r="O56" i="5" s="1"/>
  <c r="N11" i="5"/>
  <c r="M11" i="5"/>
  <c r="N40" i="5"/>
  <c r="M40" i="5"/>
  <c r="N52" i="5"/>
  <c r="M52" i="5"/>
  <c r="O52" i="5" s="1"/>
  <c r="N10" i="5"/>
  <c r="M10" i="5"/>
  <c r="M60" i="5"/>
  <c r="N60" i="5"/>
  <c r="M13" i="5"/>
  <c r="N13" i="5"/>
  <c r="M63" i="5"/>
  <c r="N63" i="5"/>
  <c r="N98" i="5"/>
  <c r="M98" i="5"/>
  <c r="N44" i="5"/>
  <c r="M44" i="5"/>
  <c r="O44" i="5" s="1"/>
  <c r="N95" i="5"/>
  <c r="M95" i="5"/>
  <c r="N48" i="5"/>
  <c r="M48" i="5"/>
  <c r="M51" i="5"/>
  <c r="N51" i="5"/>
  <c r="N102" i="5"/>
  <c r="M102" i="5"/>
  <c r="N93" i="5"/>
  <c r="M93" i="5"/>
  <c r="N42" i="5"/>
  <c r="M42" i="5"/>
  <c r="P91" i="5"/>
  <c r="N28" i="5"/>
  <c r="M28" i="5"/>
  <c r="O28" i="5" s="1"/>
  <c r="N83" i="5"/>
  <c r="M83" i="5"/>
  <c r="N85" i="5"/>
  <c r="M85" i="5"/>
  <c r="N71" i="5"/>
  <c r="M71" i="5"/>
  <c r="N45" i="5"/>
  <c r="M45" i="5"/>
  <c r="M71" i="3"/>
  <c r="M98" i="3"/>
  <c r="M101" i="3"/>
  <c r="M80" i="3"/>
  <c r="M67" i="3"/>
  <c r="M85" i="3"/>
  <c r="M62" i="3"/>
  <c r="M54" i="3"/>
  <c r="M23" i="3"/>
  <c r="M65" i="3"/>
  <c r="M79" i="3"/>
  <c r="M16" i="3"/>
  <c r="M77" i="3"/>
  <c r="N60" i="3"/>
  <c r="N27" i="3"/>
  <c r="M41" i="3"/>
  <c r="M83" i="3"/>
  <c r="N83" i="3"/>
  <c r="M59" i="3"/>
  <c r="N14" i="3"/>
  <c r="M95" i="3"/>
  <c r="M26" i="3"/>
  <c r="M92" i="3"/>
  <c r="N68" i="3"/>
  <c r="O68" i="3" s="1"/>
  <c r="N30" i="3"/>
  <c r="M32" i="3"/>
  <c r="M35" i="3"/>
  <c r="M17" i="3"/>
  <c r="N89" i="3"/>
  <c r="M86" i="3"/>
  <c r="N65" i="3"/>
  <c r="N57" i="3"/>
  <c r="M57" i="3"/>
  <c r="N88" i="3"/>
  <c r="M88" i="3"/>
  <c r="O88" i="3" s="1"/>
  <c r="M91" i="3"/>
  <c r="N91" i="3"/>
  <c r="N46" i="3"/>
  <c r="M46" i="3"/>
  <c r="N53" i="3"/>
  <c r="M50" i="3"/>
  <c r="N50" i="3"/>
  <c r="M47" i="3"/>
  <c r="P47" i="3" s="1"/>
  <c r="M74" i="3"/>
  <c r="N102" i="3"/>
  <c r="M27" i="3"/>
  <c r="M38" i="3"/>
  <c r="N20" i="3"/>
  <c r="P20" i="3" s="1"/>
  <c r="M53" i="3"/>
  <c r="N32" i="3"/>
  <c r="N36" i="3"/>
  <c r="N23" i="3"/>
  <c r="M44" i="3"/>
  <c r="N59" i="3"/>
  <c r="N44" i="3"/>
  <c r="M89" i="3"/>
  <c r="N38" i="3"/>
  <c r="M29" i="3"/>
  <c r="M56" i="3"/>
  <c r="M14" i="3"/>
  <c r="M28" i="3"/>
  <c r="N28" i="3"/>
  <c r="M100" i="3"/>
  <c r="N100" i="3"/>
  <c r="N24" i="3"/>
  <c r="M24" i="3"/>
  <c r="N81" i="3"/>
  <c r="M81" i="3"/>
  <c r="M94" i="3"/>
  <c r="N94" i="3"/>
  <c r="N42" i="3"/>
  <c r="M42" i="3"/>
  <c r="N34" i="3"/>
  <c r="M34" i="3"/>
  <c r="M48" i="3"/>
  <c r="N48" i="3"/>
  <c r="N51" i="3"/>
  <c r="M51" i="3"/>
  <c r="M82" i="3"/>
  <c r="N82" i="3"/>
  <c r="N73" i="3"/>
  <c r="M73" i="3"/>
  <c r="N18" i="3"/>
  <c r="M18" i="3"/>
  <c r="N63" i="3"/>
  <c r="M63" i="3"/>
  <c r="M40" i="3"/>
  <c r="N40" i="3"/>
  <c r="M37" i="3"/>
  <c r="N37" i="3"/>
  <c r="N31" i="3"/>
  <c r="M31" i="3"/>
  <c r="M43" i="3"/>
  <c r="N43" i="3"/>
  <c r="M13" i="3"/>
  <c r="N13" i="3"/>
  <c r="M70" i="3"/>
  <c r="N70" i="3"/>
  <c r="M39" i="3"/>
  <c r="N39" i="3"/>
  <c r="M61" i="3"/>
  <c r="N61" i="3"/>
  <c r="N72" i="3"/>
  <c r="M72" i="3"/>
  <c r="M19" i="3"/>
  <c r="N19" i="3"/>
  <c r="N75" i="3"/>
  <c r="M75" i="3"/>
  <c r="M49" i="3"/>
  <c r="N49" i="3"/>
  <c r="M84" i="3"/>
  <c r="N84" i="3"/>
  <c r="N99" i="3"/>
  <c r="M99" i="3"/>
  <c r="N45" i="3"/>
  <c r="M45" i="3"/>
  <c r="N21" i="3"/>
  <c r="M21" i="3"/>
  <c r="N69" i="3"/>
  <c r="M69" i="3"/>
  <c r="M97" i="3"/>
  <c r="N97" i="3"/>
  <c r="M55" i="3"/>
  <c r="N55" i="3"/>
  <c r="N66" i="3"/>
  <c r="M66" i="3"/>
  <c r="M52" i="3"/>
  <c r="N52" i="3"/>
  <c r="N64" i="3"/>
  <c r="M64" i="3"/>
  <c r="N87" i="3"/>
  <c r="M87" i="3"/>
  <c r="N22" i="3"/>
  <c r="M22" i="3"/>
  <c r="N93" i="3"/>
  <c r="M93" i="3"/>
  <c r="M25" i="3"/>
  <c r="N25" i="3"/>
  <c r="N96" i="3"/>
  <c r="M96" i="3"/>
  <c r="M33" i="3"/>
  <c r="N33" i="3"/>
  <c r="N90" i="3"/>
  <c r="M90" i="3"/>
  <c r="N15" i="3"/>
  <c r="M15" i="3"/>
  <c r="N78" i="3"/>
  <c r="M78" i="3"/>
  <c r="M76" i="3"/>
  <c r="N76" i="3"/>
  <c r="N86" i="3"/>
  <c r="P86" i="3" s="1"/>
  <c r="N17" i="3"/>
  <c r="N58" i="3"/>
  <c r="P58" i="3" s="1"/>
  <c r="N54" i="3"/>
  <c r="M102" i="3"/>
  <c r="N56" i="3"/>
  <c r="N92" i="3"/>
  <c r="M30" i="3"/>
  <c r="O30" i="3" s="1"/>
  <c r="M36" i="3"/>
  <c r="N95" i="3"/>
  <c r="N79" i="3"/>
  <c r="N85" i="3"/>
  <c r="P85" i="3" s="1"/>
  <c r="N26" i="3"/>
  <c r="P26" i="3" s="1"/>
  <c r="N62" i="3"/>
  <c r="N98" i="3"/>
  <c r="P98" i="3" s="1"/>
  <c r="N67" i="3"/>
  <c r="N29" i="3"/>
  <c r="N101" i="3"/>
  <c r="P101" i="3" s="1"/>
  <c r="N80" i="3"/>
  <c r="N35" i="3"/>
  <c r="P35" i="3" s="1"/>
  <c r="N71" i="3"/>
  <c r="P71" i="3" s="1"/>
  <c r="M60" i="3"/>
  <c r="N74" i="3"/>
  <c r="N16" i="3"/>
  <c r="P16" i="3" s="1"/>
  <c r="N41" i="3"/>
  <c r="N77" i="3"/>
  <c r="P77" i="3" s="1"/>
  <c r="N7" i="3"/>
  <c r="M7" i="3"/>
  <c r="M9" i="3"/>
  <c r="N9" i="3"/>
  <c r="P9" i="3" s="1"/>
  <c r="N10" i="3"/>
  <c r="M10" i="3"/>
  <c r="N8" i="3"/>
  <c r="M8" i="3"/>
  <c r="N12" i="3"/>
  <c r="M12" i="3"/>
  <c r="N11" i="3"/>
  <c r="M11" i="3"/>
  <c r="O55" i="5" l="1"/>
  <c r="O67" i="5"/>
  <c r="P21" i="5"/>
  <c r="P80" i="5"/>
  <c r="P8" i="5"/>
  <c r="P89" i="5"/>
  <c r="O43" i="5"/>
  <c r="O85" i="5"/>
  <c r="O102" i="5"/>
  <c r="P63" i="5"/>
  <c r="P54" i="5"/>
  <c r="P79" i="5"/>
  <c r="O101" i="5"/>
  <c r="P72" i="5"/>
  <c r="P84" i="5"/>
  <c r="P49" i="5"/>
  <c r="O70" i="5"/>
  <c r="P69" i="5"/>
  <c r="P19" i="5"/>
  <c r="P90" i="5"/>
  <c r="P74" i="5"/>
  <c r="P66" i="5"/>
  <c r="P100" i="5"/>
  <c r="P18" i="5"/>
  <c r="P68" i="5"/>
  <c r="P57" i="5"/>
  <c r="P23" i="5"/>
  <c r="O66" i="5"/>
  <c r="P48" i="5"/>
  <c r="O60" i="5"/>
  <c r="P26" i="5"/>
  <c r="P17" i="5"/>
  <c r="O12" i="5"/>
  <c r="P88" i="5"/>
  <c r="P77" i="5"/>
  <c r="O79" i="5"/>
  <c r="P33" i="5"/>
  <c r="O58" i="5"/>
  <c r="O69" i="5"/>
  <c r="O21" i="5"/>
  <c r="O80" i="5"/>
  <c r="P76" i="5"/>
  <c r="P14" i="5"/>
  <c r="P62" i="5"/>
  <c r="P83" i="5"/>
  <c r="P51" i="5"/>
  <c r="P13" i="5"/>
  <c r="P11" i="5"/>
  <c r="O22" i="5"/>
  <c r="O34" i="5"/>
  <c r="O92" i="5"/>
  <c r="O19" i="5"/>
  <c r="P74" i="3"/>
  <c r="P80" i="3"/>
  <c r="P62" i="3"/>
  <c r="P89" i="3"/>
  <c r="O83" i="3"/>
  <c r="P95" i="3"/>
  <c r="P23" i="3"/>
  <c r="O7" i="3"/>
  <c r="P67" i="3"/>
  <c r="P54" i="3"/>
  <c r="O64" i="3"/>
  <c r="O21" i="3"/>
  <c r="P19" i="3"/>
  <c r="P43" i="3"/>
  <c r="O73" i="3"/>
  <c r="O25" i="5"/>
  <c r="O37" i="5"/>
  <c r="O99" i="5"/>
  <c r="P97" i="5"/>
  <c r="O8" i="5"/>
  <c r="O89" i="5"/>
  <c r="P58" i="5"/>
  <c r="O9" i="5"/>
  <c r="P36" i="5"/>
  <c r="P96" i="5"/>
  <c r="O65" i="5"/>
  <c r="P39" i="5"/>
  <c r="O74" i="5"/>
  <c r="P92" i="5"/>
  <c r="O100" i="5"/>
  <c r="P98" i="5"/>
  <c r="P40" i="5"/>
  <c r="O45" i="5"/>
  <c r="P42" i="5"/>
  <c r="P95" i="5"/>
  <c r="P10" i="5"/>
  <c r="P30" i="5"/>
  <c r="P38" i="5"/>
  <c r="P64" i="5"/>
  <c r="P81" i="5"/>
  <c r="O35" i="5"/>
  <c r="P47" i="5"/>
  <c r="P27" i="5"/>
  <c r="O73" i="5"/>
  <c r="O17" i="5"/>
  <c r="O61" i="5"/>
  <c r="O94" i="5"/>
  <c r="O71" i="5"/>
  <c r="O93" i="5"/>
  <c r="O46" i="5"/>
  <c r="O82" i="5"/>
  <c r="P24" i="5"/>
  <c r="P50" i="5"/>
  <c r="O53" i="5"/>
  <c r="O32" i="5"/>
  <c r="P12" i="5"/>
  <c r="P52" i="5"/>
  <c r="P61" i="5"/>
  <c r="P71" i="5"/>
  <c r="P93" i="5"/>
  <c r="O98" i="5"/>
  <c r="O40" i="5"/>
  <c r="P25" i="5"/>
  <c r="P37" i="5"/>
  <c r="P99" i="5"/>
  <c r="O97" i="5"/>
  <c r="P46" i="5"/>
  <c r="P82" i="5"/>
  <c r="O24" i="5"/>
  <c r="O50" i="5"/>
  <c r="P53" i="5"/>
  <c r="P32" i="5"/>
  <c r="O27" i="5"/>
  <c r="O87" i="5"/>
  <c r="P94" i="5"/>
  <c r="P101" i="5"/>
  <c r="P44" i="5"/>
  <c r="O83" i="5"/>
  <c r="P102" i="5"/>
  <c r="O63" i="5"/>
  <c r="O11" i="5"/>
  <c r="O72" i="5"/>
  <c r="O84" i="5"/>
  <c r="O49" i="5"/>
  <c r="P70" i="5"/>
  <c r="P59" i="5"/>
  <c r="P35" i="5"/>
  <c r="O75" i="5"/>
  <c r="P9" i="5"/>
  <c r="O36" i="5"/>
  <c r="O96" i="5"/>
  <c r="P65" i="5"/>
  <c r="O39" i="5"/>
  <c r="P73" i="5"/>
  <c r="P41" i="5"/>
  <c r="O51" i="5"/>
  <c r="P22" i="5"/>
  <c r="P34" i="5"/>
  <c r="P45" i="5"/>
  <c r="P85" i="5"/>
  <c r="O13" i="5"/>
  <c r="P28" i="5"/>
  <c r="O48" i="5"/>
  <c r="P60" i="5"/>
  <c r="P56" i="5"/>
  <c r="O18" i="5"/>
  <c r="O68" i="5"/>
  <c r="O57" i="5"/>
  <c r="O23" i="5"/>
  <c r="P20" i="5"/>
  <c r="P16" i="5"/>
  <c r="P29" i="5"/>
  <c r="O15" i="5"/>
  <c r="P86" i="5"/>
  <c r="O76" i="5"/>
  <c r="O88" i="5"/>
  <c r="O77" i="5"/>
  <c r="O14" i="5"/>
  <c r="O26" i="5"/>
  <c r="O62" i="5"/>
  <c r="O33" i="5"/>
  <c r="O42" i="5"/>
  <c r="O95" i="5"/>
  <c r="O10" i="5"/>
  <c r="O30" i="5"/>
  <c r="O38" i="5"/>
  <c r="O64" i="5"/>
  <c r="O81" i="5"/>
  <c r="O47" i="5"/>
  <c r="P56" i="3"/>
  <c r="O90" i="3"/>
  <c r="O87" i="3"/>
  <c r="O91" i="3"/>
  <c r="P44" i="3"/>
  <c r="P65" i="3"/>
  <c r="O66" i="3"/>
  <c r="O99" i="3"/>
  <c r="P61" i="3"/>
  <c r="P37" i="3"/>
  <c r="O51" i="3"/>
  <c r="O24" i="3"/>
  <c r="P59" i="3"/>
  <c r="O53" i="3"/>
  <c r="P46" i="3"/>
  <c r="O69" i="3"/>
  <c r="O75" i="3"/>
  <c r="O56" i="3"/>
  <c r="O27" i="3"/>
  <c r="P38" i="3"/>
  <c r="P41" i="3"/>
  <c r="P68" i="3"/>
  <c r="P79" i="3"/>
  <c r="P57" i="3"/>
  <c r="O59" i="3"/>
  <c r="O46" i="3"/>
  <c r="P83" i="3"/>
  <c r="O92" i="3"/>
  <c r="O60" i="3"/>
  <c r="P29" i="3"/>
  <c r="O12" i="3"/>
  <c r="O71" i="3"/>
  <c r="O9" i="3"/>
  <c r="P92" i="3"/>
  <c r="P78" i="3"/>
  <c r="P36" i="3"/>
  <c r="P53" i="3"/>
  <c r="O15" i="3"/>
  <c r="P97" i="3"/>
  <c r="P70" i="3"/>
  <c r="O63" i="3"/>
  <c r="O34" i="3"/>
  <c r="O32" i="3"/>
  <c r="O14" i="3"/>
  <c r="O47" i="3"/>
  <c r="P27" i="3"/>
  <c r="O8" i="3"/>
  <c r="O65" i="3"/>
  <c r="P17" i="3"/>
  <c r="O96" i="3"/>
  <c r="P52" i="3"/>
  <c r="O45" i="3"/>
  <c r="O72" i="3"/>
  <c r="O31" i="3"/>
  <c r="P82" i="3"/>
  <c r="O81" i="3"/>
  <c r="O89" i="3"/>
  <c r="O57" i="3"/>
  <c r="P50" i="3"/>
  <c r="O100" i="3"/>
  <c r="O23" i="3"/>
  <c r="P33" i="3"/>
  <c r="P22" i="3"/>
  <c r="O49" i="3"/>
  <c r="O50" i="3"/>
  <c r="P13" i="3"/>
  <c r="O18" i="3"/>
  <c r="O42" i="3"/>
  <c r="O28" i="3"/>
  <c r="O74" i="3"/>
  <c r="O36" i="3"/>
  <c r="P94" i="3"/>
  <c r="O38" i="3"/>
  <c r="P91" i="3"/>
  <c r="P76" i="3"/>
  <c r="P25" i="3"/>
  <c r="P10" i="3"/>
  <c r="P7" i="3"/>
  <c r="P11" i="3"/>
  <c r="O16" i="3"/>
  <c r="P88" i="3"/>
  <c r="O62" i="3"/>
  <c r="O86" i="3"/>
  <c r="O20" i="3"/>
  <c r="P32" i="3"/>
  <c r="P14" i="3"/>
  <c r="O102" i="3"/>
  <c r="O93" i="3"/>
  <c r="P55" i="3"/>
  <c r="P84" i="3"/>
  <c r="P39" i="3"/>
  <c r="P40" i="3"/>
  <c r="P48" i="3"/>
  <c r="O44" i="3"/>
  <c r="O10" i="3"/>
  <c r="O79" i="3"/>
  <c r="O33" i="3"/>
  <c r="O22" i="3"/>
  <c r="O17" i="3"/>
  <c r="P99" i="3"/>
  <c r="P72" i="3"/>
  <c r="P31" i="3"/>
  <c r="P73" i="3"/>
  <c r="O94" i="3"/>
  <c r="P12" i="3"/>
  <c r="P90" i="3"/>
  <c r="O19" i="3"/>
  <c r="P42" i="3"/>
  <c r="P30" i="3"/>
  <c r="O77" i="3"/>
  <c r="O67" i="3"/>
  <c r="O29" i="3"/>
  <c r="O76" i="3"/>
  <c r="P96" i="3"/>
  <c r="O98" i="3"/>
  <c r="O55" i="3"/>
  <c r="O61" i="3"/>
  <c r="O54" i="3"/>
  <c r="O82" i="3"/>
  <c r="P81" i="3"/>
  <c r="P60" i="3"/>
  <c r="P93" i="3"/>
  <c r="P45" i="3"/>
  <c r="P18" i="3"/>
  <c r="P8" i="3"/>
  <c r="O95" i="3"/>
  <c r="O41" i="3"/>
  <c r="O26" i="3"/>
  <c r="O84" i="3"/>
  <c r="O80" i="3"/>
  <c r="O43" i="3"/>
  <c r="P66" i="3"/>
  <c r="O35" i="3"/>
  <c r="O101" i="3"/>
  <c r="O78" i="3"/>
  <c r="O25" i="3"/>
  <c r="P87" i="3"/>
  <c r="O97" i="3"/>
  <c r="P49" i="3"/>
  <c r="O39" i="3"/>
  <c r="O37" i="3"/>
  <c r="P51" i="3"/>
  <c r="P24" i="3"/>
  <c r="O11" i="3"/>
  <c r="O58" i="3"/>
  <c r="P102" i="3"/>
  <c r="P64" i="3"/>
  <c r="P69" i="3"/>
  <c r="O85" i="3"/>
  <c r="O70" i="3"/>
  <c r="O40" i="3"/>
  <c r="O48" i="3"/>
  <c r="P100" i="3"/>
  <c r="P15" i="3"/>
  <c r="O52" i="3"/>
  <c r="P21" i="3"/>
  <c r="P75" i="3"/>
  <c r="O13" i="3"/>
  <c r="P63" i="3"/>
  <c r="P34" i="3"/>
  <c r="P28" i="3"/>
</calcChain>
</file>

<file path=xl/sharedStrings.xml><?xml version="1.0" encoding="utf-8"?>
<sst xmlns="http://schemas.openxmlformats.org/spreadsheetml/2006/main" count="64" uniqueCount="28">
  <si>
    <t>f [kHz]</t>
  </si>
  <si>
    <t>RDFT</t>
  </si>
  <si>
    <t>XDFT</t>
  </si>
  <si>
    <t>ZDFT</t>
  </si>
  <si>
    <t>PHASE</t>
  </si>
  <si>
    <t>Zm</t>
  </si>
  <si>
    <t>θm</t>
  </si>
  <si>
    <t>R</t>
  </si>
  <si>
    <t>X</t>
  </si>
  <si>
    <t>R2</t>
  </si>
  <si>
    <t>Rm</t>
  </si>
  <si>
    <t>Xm</t>
  </si>
  <si>
    <t>Rcal</t>
  </si>
  <si>
    <t>Re=Rcal||R2</t>
  </si>
  <si>
    <t>CALIBRATION</t>
  </si>
  <si>
    <t>PHASE-SYS</t>
  </si>
  <si>
    <t>GAIN-SYS</t>
  </si>
  <si>
    <t>MEASUREMENT R=560</t>
  </si>
  <si>
    <t>BIOIMPEDANCE OF APPLE</t>
  </si>
  <si>
    <t>Eq. (1)</t>
  </si>
  <si>
    <t>Eq. (2)</t>
  </si>
  <si>
    <t>AD5933</t>
  </si>
  <si>
    <t>Eq.(3)</t>
  </si>
  <si>
    <t>Eq. (4)</t>
  </si>
  <si>
    <t>Eq. (5)</t>
  </si>
  <si>
    <t>Eq. (6)</t>
  </si>
  <si>
    <t>Eq. (7)</t>
  </si>
  <si>
    <t>Eq.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</si>
</sst>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C8FA-FBEB-428B-9FF3-9D33B0BA795F}">
  <dimension ref="A1:P102"/>
  <sheetViews>
    <sheetView tabSelected="1" workbookViewId="0">
      <selection activeCell="S9" sqref="S9"/>
    </sheetView>
  </sheetViews>
  <sheetFormatPr defaultRowHeight="14.4" x14ac:dyDescent="0.3"/>
  <cols>
    <col min="1" max="1" width="11.5546875" bestFit="1" customWidth="1"/>
    <col min="2" max="3" width="7.33203125" bestFit="1" customWidth="1"/>
    <col min="4" max="4" width="7.5546875" bestFit="1" customWidth="1"/>
    <col min="5" max="5" width="8.88671875" style="7" bestFit="1" customWidth="1"/>
    <col min="6" max="6" width="10.21875" style="7" bestFit="1" customWidth="1"/>
    <col min="7" max="8" width="7.33203125" bestFit="1" customWidth="1"/>
    <col min="9" max="9" width="7.5546875" bestFit="1" customWidth="1"/>
    <col min="10" max="10" width="6.5546875" bestFit="1" customWidth="1"/>
    <col min="11" max="11" width="7.5546875" bestFit="1" customWidth="1"/>
    <col min="12" max="12" width="6.33203125" bestFit="1" customWidth="1"/>
    <col min="13" max="16" width="7.5546875" bestFit="1" customWidth="1"/>
  </cols>
  <sheetData>
    <row r="1" spans="1:16" x14ac:dyDescent="0.3">
      <c r="A1" s="1" t="s">
        <v>12</v>
      </c>
      <c r="B1" s="1">
        <v>1000</v>
      </c>
    </row>
    <row r="2" spans="1:16" x14ac:dyDescent="0.3">
      <c r="A2" s="1" t="s">
        <v>9</v>
      </c>
      <c r="B2" s="1">
        <v>5000</v>
      </c>
    </row>
    <row r="3" spans="1:16" x14ac:dyDescent="0.3">
      <c r="A3" s="1" t="s">
        <v>13</v>
      </c>
      <c r="B3" s="3">
        <f>B1*B2/(B1+B2)</f>
        <v>833.33333333333337</v>
      </c>
      <c r="E3" s="7" t="s">
        <v>19</v>
      </c>
      <c r="F3" s="7" t="s">
        <v>20</v>
      </c>
    </row>
    <row r="4" spans="1:16" x14ac:dyDescent="0.3">
      <c r="A4" s="13"/>
      <c r="B4" s="3" t="s">
        <v>21</v>
      </c>
      <c r="C4" t="s">
        <v>21</v>
      </c>
      <c r="G4" s="14" t="s">
        <v>21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3">
      <c r="A5" s="4"/>
      <c r="B5" s="8" t="s">
        <v>14</v>
      </c>
      <c r="C5" s="9"/>
      <c r="D5" s="9"/>
      <c r="E5" s="9"/>
      <c r="F5" s="9"/>
      <c r="G5" s="10" t="s">
        <v>17</v>
      </c>
      <c r="H5" s="9"/>
      <c r="I5" s="9"/>
      <c r="J5" s="9"/>
      <c r="K5" s="9"/>
      <c r="L5" s="9"/>
      <c r="M5" s="9"/>
      <c r="N5" s="9"/>
      <c r="O5" s="9"/>
      <c r="P5" s="9"/>
    </row>
    <row r="6" spans="1:1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16</v>
      </c>
      <c r="F6" s="1" t="s">
        <v>15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5" t="s">
        <v>6</v>
      </c>
      <c r="M6" s="5" t="s">
        <v>10</v>
      </c>
      <c r="N6" s="5" t="s">
        <v>11</v>
      </c>
      <c r="O6" s="5" t="s">
        <v>7</v>
      </c>
      <c r="P6" s="5" t="s">
        <v>8</v>
      </c>
    </row>
    <row r="7" spans="1:16" x14ac:dyDescent="0.3">
      <c r="A7" s="4">
        <v>5</v>
      </c>
      <c r="B7" s="4">
        <v>-132</v>
      </c>
      <c r="C7" s="4">
        <v>3779</v>
      </c>
      <c r="D7" s="6">
        <f>SQRT(B7*B7+C7*C7)</f>
        <v>3781.3046690262872</v>
      </c>
      <c r="E7" s="2">
        <f>$B$3/D7</f>
        <v>0.22038248865778981</v>
      </c>
      <c r="F7" s="2">
        <f>180*ATAN(C7/B7)/3.14</f>
        <v>-88.044113505795991</v>
      </c>
      <c r="G7" s="4">
        <v>-72</v>
      </c>
      <c r="H7" s="4">
        <v>2302</v>
      </c>
      <c r="I7" s="2">
        <f>SQRT(G7*G7+H7*H7)</f>
        <v>2303.1257021708561</v>
      </c>
      <c r="J7" s="2">
        <f>180*ATAN(H7/G7)/3.14</f>
        <v>-88.253275962705686</v>
      </c>
      <c r="K7" s="2">
        <f>I7*E7</f>
        <v>507.56857393613291</v>
      </c>
      <c r="L7" s="2">
        <f>F7-J7</f>
        <v>0.20916245690969504</v>
      </c>
      <c r="M7" s="2">
        <f>K7*COS(L7*3.14/180)</f>
        <v>507.56519526436722</v>
      </c>
      <c r="N7" s="2">
        <f>K7*SIN(L7*3.14/180)</f>
        <v>1.8519729491655617</v>
      </c>
      <c r="O7" s="2">
        <f>-$B$2-$B$2*$B$2*(M7-$B$2)/(M7*M7-2*M7*$B$2+$B$2*$B$2+N7*N7)</f>
        <v>564.91008507203514</v>
      </c>
      <c r="P7" s="2">
        <f>$B$2*$B$2*N7/(M7*M7-2*M7*$B$2+$B$2*$B$2+N7*N7)</f>
        <v>2.2940929340205569</v>
      </c>
    </row>
    <row r="8" spans="1:16" x14ac:dyDescent="0.3">
      <c r="A8" s="4">
        <v>6</v>
      </c>
      <c r="B8" s="4">
        <v>-194</v>
      </c>
      <c r="C8" s="4">
        <v>3775</v>
      </c>
      <c r="D8" s="6">
        <f t="shared" ref="D8:D13" si="0">SQRT(B8*B8+C8*C8)</f>
        <v>3779.9816137118974</v>
      </c>
      <c r="E8" s="2">
        <f t="shared" ref="E8:E13" si="1">$B$3/D8</f>
        <v>0.22045962612897735</v>
      </c>
      <c r="F8" s="2">
        <f t="shared" ref="F8:F13" si="2">180*ATAN(C8/B8)/3.14</f>
        <v>-87.10227331650411</v>
      </c>
      <c r="G8" s="4">
        <v>-107</v>
      </c>
      <c r="H8" s="4">
        <v>2298</v>
      </c>
      <c r="I8" s="2">
        <f t="shared" ref="I8:I13" si="3">SQRT(G8*G8+H8*H8)</f>
        <v>2300.4897304704491</v>
      </c>
      <c r="J8" s="2">
        <f t="shared" ref="J8:J13" si="4">180*ATAN(H8/G8)/3.14</f>
        <v>-87.378403452629584</v>
      </c>
      <c r="K8" s="2">
        <f t="shared" ref="K8:K13" si="5">I8*E8</f>
        <v>507.16510589306711</v>
      </c>
      <c r="L8" s="2">
        <f t="shared" ref="L8:L13" si="6">F8-J8</f>
        <v>0.27613013612547377</v>
      </c>
      <c r="M8" s="2">
        <f t="shared" ref="M8:M13" si="7">K8*COS(L8*3.14/180)</f>
        <v>507.15922205881697</v>
      </c>
      <c r="N8" s="2">
        <f t="shared" ref="N8:N13" si="8">K8*SIN(L8*3.14/180)</f>
        <v>2.4429728245678413</v>
      </c>
      <c r="O8" s="2">
        <f t="shared" ref="O8:O71" si="9">-$B$2-$B$2*$B$2*(M8-$B$2)/(M8*M8-2*M8*$B$2+$B$2*$B$2+N8*N8)</f>
        <v>564.40654011186416</v>
      </c>
      <c r="P8" s="2">
        <f t="shared" ref="P8:P71" si="10">$B$2*$B$2*N8/(M8*M8-2*M8*$B$2+$B$2*$B$2+N8*N8)</f>
        <v>3.0256344780974138</v>
      </c>
    </row>
    <row r="9" spans="1:16" x14ac:dyDescent="0.3">
      <c r="A9" s="4">
        <v>7</v>
      </c>
      <c r="B9" s="4">
        <v>-254</v>
      </c>
      <c r="C9" s="4">
        <v>3780</v>
      </c>
      <c r="D9" s="6">
        <f t="shared" si="0"/>
        <v>3788.5242509452146</v>
      </c>
      <c r="E9" s="2">
        <f t="shared" si="1"/>
        <v>0.21996251789213744</v>
      </c>
      <c r="F9" s="2">
        <f t="shared" si="2"/>
        <v>-86.199444584093399</v>
      </c>
      <c r="G9" s="4">
        <v>-145</v>
      </c>
      <c r="H9" s="4">
        <v>2294</v>
      </c>
      <c r="I9" s="2">
        <f t="shared" si="3"/>
        <v>2298.5780387013183</v>
      </c>
      <c r="J9" s="2">
        <f t="shared" si="4"/>
        <v>-86.427053580095077</v>
      </c>
      <c r="K9" s="2">
        <f t="shared" si="5"/>
        <v>505.60101296431293</v>
      </c>
      <c r="L9" s="2">
        <f t="shared" si="6"/>
        <v>0.22760899600167761</v>
      </c>
      <c r="M9" s="2">
        <f t="shared" si="7"/>
        <v>505.59702757729974</v>
      </c>
      <c r="N9" s="2">
        <f t="shared" si="8"/>
        <v>2.0074898601324223</v>
      </c>
      <c r="O9" s="2">
        <f t="shared" si="9"/>
        <v>562.47296151937371</v>
      </c>
      <c r="P9" s="2">
        <f t="shared" si="10"/>
        <v>2.4845587135885072</v>
      </c>
    </row>
    <row r="10" spans="1:16" x14ac:dyDescent="0.3">
      <c r="A10" s="4">
        <v>8</v>
      </c>
      <c r="B10" s="4">
        <v>-330</v>
      </c>
      <c r="C10" s="4">
        <v>3770</v>
      </c>
      <c r="D10" s="6">
        <f t="shared" si="0"/>
        <v>3784.4154106017486</v>
      </c>
      <c r="E10" s="2">
        <f t="shared" si="1"/>
        <v>0.22020133704106959</v>
      </c>
      <c r="F10" s="2">
        <f t="shared" si="2"/>
        <v>-85.040582065632663</v>
      </c>
      <c r="G10" s="4">
        <v>-196</v>
      </c>
      <c r="H10" s="4">
        <v>2298</v>
      </c>
      <c r="I10" s="2">
        <f t="shared" si="3"/>
        <v>2306.34342629193</v>
      </c>
      <c r="J10" s="2">
        <f t="shared" si="4"/>
        <v>-85.168128893545358</v>
      </c>
      <c r="K10" s="2">
        <f t="shared" si="5"/>
        <v>507.8599061453645</v>
      </c>
      <c r="L10" s="2">
        <f t="shared" si="6"/>
        <v>0.12754682791269545</v>
      </c>
      <c r="M10" s="2">
        <f t="shared" si="7"/>
        <v>507.85864905249338</v>
      </c>
      <c r="N10" s="2">
        <f t="shared" si="8"/>
        <v>1.1299790063631066</v>
      </c>
      <c r="O10" s="2">
        <f t="shared" si="9"/>
        <v>565.27421222965768</v>
      </c>
      <c r="P10" s="2">
        <f t="shared" si="10"/>
        <v>1.3999210027411657</v>
      </c>
    </row>
    <row r="11" spans="1:16" x14ac:dyDescent="0.3">
      <c r="A11" s="4">
        <v>9</v>
      </c>
      <c r="B11" s="4">
        <v>-397</v>
      </c>
      <c r="C11" s="4">
        <v>3766</v>
      </c>
      <c r="D11" s="6">
        <f t="shared" si="0"/>
        <v>3786.8674389262692</v>
      </c>
      <c r="E11" s="2">
        <f t="shared" si="1"/>
        <v>0.22005875483447535</v>
      </c>
      <c r="F11" s="2">
        <f t="shared" si="2"/>
        <v>-84.02487965897339</v>
      </c>
      <c r="G11" s="4">
        <v>-237</v>
      </c>
      <c r="H11" s="4">
        <v>2293</v>
      </c>
      <c r="I11" s="2">
        <f t="shared" si="3"/>
        <v>2305.2153912378772</v>
      </c>
      <c r="J11" s="2">
        <f t="shared" si="4"/>
        <v>-84.141630192511627</v>
      </c>
      <c r="K11" s="2">
        <f t="shared" si="5"/>
        <v>507.28282862107517</v>
      </c>
      <c r="L11" s="2">
        <f t="shared" si="6"/>
        <v>0.11675053353823728</v>
      </c>
      <c r="M11" s="2">
        <f t="shared" si="7"/>
        <v>507.28177653311701</v>
      </c>
      <c r="N11" s="2">
        <f t="shared" si="8"/>
        <v>1.0331559436131743</v>
      </c>
      <c r="O11" s="2">
        <f t="shared" si="9"/>
        <v>564.55967956111363</v>
      </c>
      <c r="P11" s="2">
        <f t="shared" si="10"/>
        <v>1.2796391005560164</v>
      </c>
    </row>
    <row r="12" spans="1:16" x14ac:dyDescent="0.3">
      <c r="A12" s="4">
        <v>10</v>
      </c>
      <c r="B12" s="4">
        <v>-448</v>
      </c>
      <c r="C12" s="4">
        <v>3760</v>
      </c>
      <c r="D12" s="6">
        <f t="shared" si="0"/>
        <v>3786.5953044918861</v>
      </c>
      <c r="E12" s="2">
        <f t="shared" si="1"/>
        <v>0.22007456998237532</v>
      </c>
      <c r="F12" s="2">
        <f t="shared" si="2"/>
        <v>-83.247504508501393</v>
      </c>
      <c r="G12" s="4">
        <v>-268</v>
      </c>
      <c r="H12" s="4">
        <v>2290</v>
      </c>
      <c r="I12" s="2">
        <f t="shared" si="3"/>
        <v>2305.628764567271</v>
      </c>
      <c r="J12" s="2">
        <f t="shared" si="4"/>
        <v>-83.367269457331417</v>
      </c>
      <c r="K12" s="2">
        <f t="shared" si="5"/>
        <v>507.41025890113741</v>
      </c>
      <c r="L12" s="2">
        <f t="shared" si="6"/>
        <v>0.11976494883002431</v>
      </c>
      <c r="M12" s="2">
        <f t="shared" si="7"/>
        <v>507.40915150541286</v>
      </c>
      <c r="N12" s="2">
        <f t="shared" si="8"/>
        <v>1.0600974843329347</v>
      </c>
      <c r="O12" s="2">
        <f t="shared" si="9"/>
        <v>564.71743167567001</v>
      </c>
      <c r="P12" s="2">
        <f t="shared" si="10"/>
        <v>1.3130826174210231</v>
      </c>
    </row>
    <row r="13" spans="1:16" x14ac:dyDescent="0.3">
      <c r="A13" s="4">
        <v>11</v>
      </c>
      <c r="B13" s="4">
        <v>-502</v>
      </c>
      <c r="C13" s="4">
        <v>3752</v>
      </c>
      <c r="D13" s="6">
        <f t="shared" si="0"/>
        <v>3785.4336607580381</v>
      </c>
      <c r="E13" s="2">
        <f t="shared" si="1"/>
        <v>0.22014210471369278</v>
      </c>
      <c r="F13" s="2">
        <f t="shared" si="2"/>
        <v>-82.421135289763555</v>
      </c>
      <c r="G13" s="4">
        <v>-298</v>
      </c>
      <c r="H13" s="4">
        <v>2284</v>
      </c>
      <c r="I13" s="2">
        <f t="shared" si="3"/>
        <v>2303.3584176154609</v>
      </c>
      <c r="J13" s="2">
        <f t="shared" si="4"/>
        <v>-82.608326064586976</v>
      </c>
      <c r="K13" s="2">
        <f t="shared" si="5"/>
        <v>507.0661699638685</v>
      </c>
      <c r="L13" s="2">
        <f t="shared" si="6"/>
        <v>0.18719077482342072</v>
      </c>
      <c r="M13" s="2">
        <f t="shared" si="7"/>
        <v>507.06346651957625</v>
      </c>
      <c r="N13" s="2">
        <f t="shared" si="8"/>
        <v>1.6557907408034251</v>
      </c>
      <c r="O13" s="2">
        <f t="shared" si="9"/>
        <v>564.28883833778491</v>
      </c>
      <c r="P13" s="2">
        <f t="shared" si="10"/>
        <v>2.0506183136618956</v>
      </c>
    </row>
    <row r="14" spans="1:16" x14ac:dyDescent="0.3">
      <c r="A14" s="4">
        <v>12</v>
      </c>
      <c r="B14" s="4">
        <v>-567</v>
      </c>
      <c r="C14" s="4">
        <v>3749</v>
      </c>
      <c r="D14" s="6">
        <f t="shared" ref="D14:D77" si="11">SQRT(B14*B14+C14*C14)</f>
        <v>3791.6342123153177</v>
      </c>
      <c r="E14" s="2">
        <f t="shared" ref="E14:E77" si="12">$B$3/D14</f>
        <v>0.21978210098079792</v>
      </c>
      <c r="F14" s="2">
        <f t="shared" ref="F14:F77" si="13">180*ATAN(C14/B14)/3.14</f>
        <v>-81.441032276510256</v>
      </c>
      <c r="G14" s="4">
        <v>-342</v>
      </c>
      <c r="H14" s="4">
        <v>2285</v>
      </c>
      <c r="I14" s="2">
        <f t="shared" ref="I14:I77" si="14">SQRT(G14*G14+H14*H14)</f>
        <v>2310.4521202569854</v>
      </c>
      <c r="J14" s="2">
        <f t="shared" ref="J14:J77" si="15">180*ATAN(H14/G14)/3.14</f>
        <v>-81.528959212238433</v>
      </c>
      <c r="K14" s="2">
        <f t="shared" ref="K14:K77" si="16">I14*E14</f>
        <v>507.79602120561941</v>
      </c>
      <c r="L14" s="2">
        <f t="shared" ref="L14:L77" si="17">F14-J14</f>
        <v>8.7926935728177114E-2</v>
      </c>
      <c r="M14" s="2">
        <f t="shared" ref="M14:M77" si="18">K14*COS(L14*3.14/180)</f>
        <v>507.79542387142703</v>
      </c>
      <c r="N14" s="2">
        <f t="shared" ref="N14:N77" si="19">K14*SIN(L14*3.14/180)</f>
        <v>0.77887578957036885</v>
      </c>
      <c r="O14" s="2">
        <f t="shared" si="9"/>
        <v>565.19606905261571</v>
      </c>
      <c r="P14" s="2">
        <f t="shared" si="10"/>
        <v>0.96491520119790897</v>
      </c>
    </row>
    <row r="15" spans="1:16" x14ac:dyDescent="0.3">
      <c r="A15" s="4">
        <v>13</v>
      </c>
      <c r="B15" s="4">
        <v>-620</v>
      </c>
      <c r="C15" s="4">
        <v>3743</v>
      </c>
      <c r="D15" s="6">
        <f t="shared" si="11"/>
        <v>3794.0017132310313</v>
      </c>
      <c r="E15" s="2">
        <f t="shared" si="12"/>
        <v>0.21964495440980011</v>
      </c>
      <c r="F15" s="2">
        <f t="shared" si="13"/>
        <v>-80.635658744409426</v>
      </c>
      <c r="G15" s="4">
        <v>-376</v>
      </c>
      <c r="H15" s="4">
        <v>2283</v>
      </c>
      <c r="I15" s="2">
        <f t="shared" si="14"/>
        <v>2313.7556050715471</v>
      </c>
      <c r="J15" s="2">
        <f t="shared" si="15"/>
        <v>-80.688501296736035</v>
      </c>
      <c r="K15" s="2">
        <f t="shared" si="16"/>
        <v>508.20474439135944</v>
      </c>
      <c r="L15" s="2">
        <f t="shared" si="17"/>
        <v>5.2842552326609393E-2</v>
      </c>
      <c r="M15" s="2">
        <f t="shared" si="18"/>
        <v>508.20452847251522</v>
      </c>
      <c r="N15" s="2">
        <f t="shared" si="19"/>
        <v>0.46846762479987303</v>
      </c>
      <c r="O15" s="2">
        <f t="shared" si="9"/>
        <v>565.70304381360438</v>
      </c>
      <c r="P15" s="2">
        <f t="shared" si="10"/>
        <v>0.58046981475541759</v>
      </c>
    </row>
    <row r="16" spans="1:16" x14ac:dyDescent="0.3">
      <c r="A16" s="4">
        <v>14</v>
      </c>
      <c r="B16" s="4">
        <v>-669</v>
      </c>
      <c r="C16" s="4">
        <v>3728</v>
      </c>
      <c r="D16" s="6">
        <f t="shared" si="11"/>
        <v>3787.5513197843275</v>
      </c>
      <c r="E16" s="2">
        <f t="shared" si="12"/>
        <v>0.22001902099132098</v>
      </c>
      <c r="F16" s="2">
        <f t="shared" si="13"/>
        <v>-79.866887169920574</v>
      </c>
      <c r="G16" s="4">
        <v>-406</v>
      </c>
      <c r="H16" s="4">
        <v>2273</v>
      </c>
      <c r="I16" s="2">
        <f t="shared" si="14"/>
        <v>2308.974880764189</v>
      </c>
      <c r="J16" s="2">
        <f t="shared" si="15"/>
        <v>-79.913223661932435</v>
      </c>
      <c r="K16" s="2">
        <f t="shared" si="16"/>
        <v>508.01839275928899</v>
      </c>
      <c r="L16" s="2">
        <f t="shared" si="17"/>
        <v>4.6336492011860742E-2</v>
      </c>
      <c r="M16" s="2">
        <f t="shared" si="18"/>
        <v>508.01822679677457</v>
      </c>
      <c r="N16" s="2">
        <f t="shared" si="19"/>
        <v>0.41063851762572146</v>
      </c>
      <c r="O16" s="2">
        <f t="shared" si="9"/>
        <v>565.47222435653566</v>
      </c>
      <c r="P16" s="2">
        <f t="shared" si="10"/>
        <v>0.50877260404981151</v>
      </c>
    </row>
    <row r="17" spans="1:16" x14ac:dyDescent="0.3">
      <c r="A17" s="4">
        <v>15</v>
      </c>
      <c r="B17" s="4">
        <v>-723</v>
      </c>
      <c r="C17" s="4">
        <v>3720</v>
      </c>
      <c r="D17" s="6">
        <f t="shared" si="11"/>
        <v>3789.6080272239237</v>
      </c>
      <c r="E17" s="2">
        <f t="shared" si="12"/>
        <v>0.2198996116080616</v>
      </c>
      <c r="F17" s="2">
        <f t="shared" si="13"/>
        <v>-79.041476882949269</v>
      </c>
      <c r="G17" s="4">
        <v>-435</v>
      </c>
      <c r="H17" s="4">
        <v>2268</v>
      </c>
      <c r="I17" s="2">
        <f t="shared" si="14"/>
        <v>2309.3395159655497</v>
      </c>
      <c r="J17" s="2">
        <f t="shared" si="15"/>
        <v>-79.182727560918877</v>
      </c>
      <c r="K17" s="2">
        <f t="shared" si="16"/>
        <v>507.82286263197335</v>
      </c>
      <c r="L17" s="2">
        <f t="shared" si="17"/>
        <v>0.14125067796960877</v>
      </c>
      <c r="M17" s="2">
        <f t="shared" si="18"/>
        <v>507.82132101173943</v>
      </c>
      <c r="N17" s="2">
        <f t="shared" si="19"/>
        <v>1.251294379432162</v>
      </c>
      <c r="O17" s="2">
        <f t="shared" si="9"/>
        <v>565.22788757020771</v>
      </c>
      <c r="P17" s="2">
        <f t="shared" si="10"/>
        <v>1.5501917607480642</v>
      </c>
    </row>
    <row r="18" spans="1:16" x14ac:dyDescent="0.3">
      <c r="A18" s="4">
        <v>16</v>
      </c>
      <c r="B18" s="4">
        <v>-780</v>
      </c>
      <c r="C18" s="4">
        <v>3711</v>
      </c>
      <c r="D18" s="6">
        <f t="shared" si="11"/>
        <v>3792.0866287573126</v>
      </c>
      <c r="E18" s="2">
        <f t="shared" si="12"/>
        <v>0.21975587978759367</v>
      </c>
      <c r="F18" s="2">
        <f t="shared" si="13"/>
        <v>-78.169646686811149</v>
      </c>
      <c r="G18" s="4">
        <v>-471</v>
      </c>
      <c r="H18" s="4">
        <v>2262</v>
      </c>
      <c r="I18" s="2">
        <f t="shared" si="14"/>
        <v>2310.5161760957226</v>
      </c>
      <c r="J18" s="2">
        <f t="shared" si="15"/>
        <v>-78.277463552728904</v>
      </c>
      <c r="K18" s="2">
        <f t="shared" si="16"/>
        <v>507.74951504138221</v>
      </c>
      <c r="L18" s="2">
        <f t="shared" si="17"/>
        <v>0.10781686591775497</v>
      </c>
      <c r="M18" s="2">
        <f t="shared" si="18"/>
        <v>507.74861697779841</v>
      </c>
      <c r="N18" s="2">
        <f t="shared" si="19"/>
        <v>0.95497742998727886</v>
      </c>
      <c r="O18" s="2">
        <f t="shared" si="9"/>
        <v>565.13799844167534</v>
      </c>
      <c r="P18" s="2">
        <f t="shared" si="10"/>
        <v>1.1830551610183822</v>
      </c>
    </row>
    <row r="19" spans="1:16" x14ac:dyDescent="0.3">
      <c r="A19" s="4">
        <v>17</v>
      </c>
      <c r="B19" s="4">
        <v>-829</v>
      </c>
      <c r="C19" s="4">
        <v>3705</v>
      </c>
      <c r="D19" s="6">
        <f t="shared" si="11"/>
        <v>3796.612437423657</v>
      </c>
      <c r="E19" s="2">
        <f t="shared" si="12"/>
        <v>0.21949391650279296</v>
      </c>
      <c r="F19" s="2">
        <f t="shared" si="13"/>
        <v>-77.426963540375169</v>
      </c>
      <c r="G19" s="4">
        <v>-503</v>
      </c>
      <c r="H19" s="4">
        <v>2259</v>
      </c>
      <c r="I19" s="2">
        <f t="shared" si="14"/>
        <v>2314.3227951173967</v>
      </c>
      <c r="J19" s="2">
        <f t="shared" si="15"/>
        <v>-77.486307044518952</v>
      </c>
      <c r="K19" s="2">
        <f t="shared" si="16"/>
        <v>507.97977435200829</v>
      </c>
      <c r="L19" s="2">
        <f t="shared" si="17"/>
        <v>5.9343504143782866E-2</v>
      </c>
      <c r="M19" s="2">
        <f t="shared" si="18"/>
        <v>507.97950215894912</v>
      </c>
      <c r="N19" s="2">
        <f t="shared" si="19"/>
        <v>0.52586791446748382</v>
      </c>
      <c r="O19" s="2">
        <f t="shared" si="9"/>
        <v>565.42421598425244</v>
      </c>
      <c r="P19" s="2">
        <f t="shared" si="10"/>
        <v>0.65152819916852256</v>
      </c>
    </row>
    <row r="20" spans="1:16" x14ac:dyDescent="0.3">
      <c r="A20" s="4">
        <v>18</v>
      </c>
      <c r="B20" s="4">
        <v>-881</v>
      </c>
      <c r="C20" s="4">
        <v>3687</v>
      </c>
      <c r="D20" s="6">
        <f t="shared" si="11"/>
        <v>3790.7954310408259</v>
      </c>
      <c r="E20" s="2">
        <f t="shared" si="12"/>
        <v>0.21983073170068895</v>
      </c>
      <c r="F20" s="2">
        <f t="shared" si="13"/>
        <v>-76.600124463911897</v>
      </c>
      <c r="G20" s="4">
        <v>-535</v>
      </c>
      <c r="H20" s="4">
        <v>2242</v>
      </c>
      <c r="I20" s="2">
        <f t="shared" si="14"/>
        <v>2304.9488063729314</v>
      </c>
      <c r="J20" s="2">
        <f t="shared" si="15"/>
        <v>-76.617556286033079</v>
      </c>
      <c r="K20" s="2">
        <f t="shared" si="16"/>
        <v>506.69858263759113</v>
      </c>
      <c r="L20" s="2">
        <f t="shared" si="17"/>
        <v>1.7431822121181995E-2</v>
      </c>
      <c r="M20" s="2">
        <f t="shared" si="18"/>
        <v>506.69855921043631</v>
      </c>
      <c r="N20" s="2">
        <f t="shared" si="19"/>
        <v>0.1540811855331557</v>
      </c>
      <c r="O20" s="2">
        <f t="shared" si="9"/>
        <v>563.83770375522636</v>
      </c>
      <c r="P20" s="2">
        <f t="shared" si="10"/>
        <v>0.19079127470202267</v>
      </c>
    </row>
    <row r="21" spans="1:16" x14ac:dyDescent="0.3">
      <c r="A21" s="4">
        <v>19</v>
      </c>
      <c r="B21" s="4">
        <v>-927</v>
      </c>
      <c r="C21" s="4">
        <v>3670</v>
      </c>
      <c r="D21" s="6">
        <f t="shared" si="11"/>
        <v>3785.2647199370349</v>
      </c>
      <c r="E21" s="2">
        <f t="shared" si="12"/>
        <v>0.22015192991500876</v>
      </c>
      <c r="F21" s="2">
        <f t="shared" si="13"/>
        <v>-75.862711925207392</v>
      </c>
      <c r="G21" s="4">
        <v>-564</v>
      </c>
      <c r="H21" s="4">
        <v>2235</v>
      </c>
      <c r="I21" s="2">
        <f t="shared" si="14"/>
        <v>2305.0642073486802</v>
      </c>
      <c r="J21" s="2">
        <f t="shared" si="15"/>
        <v>-75.87562192190866</v>
      </c>
      <c r="K21" s="2">
        <f t="shared" si="16"/>
        <v>507.46433382582183</v>
      </c>
      <c r="L21" s="2">
        <f t="shared" si="17"/>
        <v>1.2909996701267801E-2</v>
      </c>
      <c r="M21" s="2">
        <f t="shared" si="18"/>
        <v>507.46432095690261</v>
      </c>
      <c r="N21" s="2">
        <f t="shared" si="19"/>
        <v>0.11428488475452672</v>
      </c>
      <c r="O21" s="2">
        <f t="shared" si="9"/>
        <v>564.78607402993384</v>
      </c>
      <c r="P21" s="2">
        <f t="shared" si="10"/>
        <v>0.14156168822894399</v>
      </c>
    </row>
    <row r="22" spans="1:16" x14ac:dyDescent="0.3">
      <c r="A22" s="4">
        <v>20</v>
      </c>
      <c r="B22" s="4">
        <v>-983</v>
      </c>
      <c r="C22" s="4">
        <v>3670</v>
      </c>
      <c r="D22" s="6">
        <f t="shared" si="11"/>
        <v>3799.3669209488048</v>
      </c>
      <c r="E22" s="2">
        <f t="shared" si="12"/>
        <v>0.21933478673474038</v>
      </c>
      <c r="F22" s="2">
        <f t="shared" si="13"/>
        <v>-75.043484963629879</v>
      </c>
      <c r="G22" s="4">
        <v>-598</v>
      </c>
      <c r="H22" s="4">
        <v>2238</v>
      </c>
      <c r="I22" s="2">
        <f t="shared" si="14"/>
        <v>2316.5163500394292</v>
      </c>
      <c r="J22" s="2">
        <f t="shared" si="15"/>
        <v>-75.077965992261156</v>
      </c>
      <c r="K22" s="2">
        <f t="shared" si="16"/>
        <v>508.09261960343741</v>
      </c>
      <c r="L22" s="2">
        <f t="shared" si="17"/>
        <v>3.4481028631276445E-2</v>
      </c>
      <c r="M22" s="2">
        <f t="shared" si="18"/>
        <v>508.09252768818374</v>
      </c>
      <c r="N22" s="2">
        <f t="shared" si="19"/>
        <v>0.30561890576315837</v>
      </c>
      <c r="O22" s="2">
        <f t="shared" si="9"/>
        <v>565.56430388921945</v>
      </c>
      <c r="P22" s="2">
        <f t="shared" si="10"/>
        <v>0.37866801197347605</v>
      </c>
    </row>
    <row r="23" spans="1:16" x14ac:dyDescent="0.3">
      <c r="A23" s="4">
        <v>21</v>
      </c>
      <c r="B23" s="4">
        <v>-1035</v>
      </c>
      <c r="C23" s="4">
        <v>3657</v>
      </c>
      <c r="D23" s="6">
        <f t="shared" si="11"/>
        <v>3800.6412616820335</v>
      </c>
      <c r="E23" s="2">
        <f t="shared" si="12"/>
        <v>0.21926124460495086</v>
      </c>
      <c r="F23" s="2">
        <f t="shared" si="13"/>
        <v>-74.235120088263486</v>
      </c>
      <c r="G23" s="4">
        <v>-628</v>
      </c>
      <c r="H23" s="4">
        <v>2233</v>
      </c>
      <c r="I23" s="2">
        <f t="shared" si="14"/>
        <v>2319.6277718634083</v>
      </c>
      <c r="J23" s="2">
        <f t="shared" si="15"/>
        <v>-74.329787264227249</v>
      </c>
      <c r="K23" s="2">
        <f t="shared" si="16"/>
        <v>508.60447227897993</v>
      </c>
      <c r="L23" s="2">
        <f t="shared" si="17"/>
        <v>9.4667175963763839E-2</v>
      </c>
      <c r="M23" s="2">
        <f t="shared" si="18"/>
        <v>508.60377875224117</v>
      </c>
      <c r="N23" s="2">
        <f t="shared" si="19"/>
        <v>0.8399173298429643</v>
      </c>
      <c r="O23" s="2">
        <f t="shared" si="9"/>
        <v>566.19765752377589</v>
      </c>
      <c r="P23" s="2">
        <f t="shared" si="10"/>
        <v>1.0409114768740499</v>
      </c>
    </row>
    <row r="24" spans="1:16" x14ac:dyDescent="0.3">
      <c r="A24" s="4">
        <v>22</v>
      </c>
      <c r="B24" s="4">
        <v>-1084</v>
      </c>
      <c r="C24" s="4">
        <v>3636</v>
      </c>
      <c r="D24" s="6">
        <f t="shared" si="11"/>
        <v>3794.14707147733</v>
      </c>
      <c r="E24" s="2">
        <f t="shared" si="12"/>
        <v>0.21963653955271104</v>
      </c>
      <c r="F24" s="2">
        <f t="shared" si="13"/>
        <v>-73.43634165194014</v>
      </c>
      <c r="G24" s="4">
        <v>-657</v>
      </c>
      <c r="H24" s="4">
        <v>2220</v>
      </c>
      <c r="I24" s="2">
        <f t="shared" si="14"/>
        <v>2315.1779629220732</v>
      </c>
      <c r="J24" s="2">
        <f t="shared" si="15"/>
        <v>-73.551381327732869</v>
      </c>
      <c r="K24" s="2">
        <f t="shared" si="16"/>
        <v>508.4976762248989</v>
      </c>
      <c r="L24" s="2">
        <f t="shared" si="17"/>
        <v>0.11503967579272967</v>
      </c>
      <c r="M24" s="2">
        <f t="shared" si="18"/>
        <v>508.49665229926586</v>
      </c>
      <c r="N24" s="2">
        <f t="shared" si="19"/>
        <v>1.0204540958208399</v>
      </c>
      <c r="O24" s="2">
        <f t="shared" si="9"/>
        <v>566.06480597215796</v>
      </c>
      <c r="P24" s="2">
        <f t="shared" si="10"/>
        <v>1.2645907592980301</v>
      </c>
    </row>
    <row r="25" spans="1:16" x14ac:dyDescent="0.3">
      <c r="A25" s="4">
        <v>23</v>
      </c>
      <c r="B25" s="4">
        <v>-1134</v>
      </c>
      <c r="C25" s="4">
        <v>3624</v>
      </c>
      <c r="D25" s="6">
        <f t="shared" si="11"/>
        <v>3797.2795525217789</v>
      </c>
      <c r="E25" s="2">
        <f t="shared" si="12"/>
        <v>0.21945535528979304</v>
      </c>
      <c r="F25" s="2">
        <f t="shared" si="13"/>
        <v>-72.661208794058865</v>
      </c>
      <c r="G25" s="4">
        <v>-687</v>
      </c>
      <c r="H25" s="4">
        <v>2209</v>
      </c>
      <c r="I25" s="2">
        <f t="shared" si="14"/>
        <v>2313.3633523508579</v>
      </c>
      <c r="J25" s="2">
        <f t="shared" si="15"/>
        <v>-72.761169363219508</v>
      </c>
      <c r="K25" s="2">
        <f t="shared" si="16"/>
        <v>507.67997640454422</v>
      </c>
      <c r="L25" s="2">
        <f t="shared" si="17"/>
        <v>9.9960569160643331E-2</v>
      </c>
      <c r="M25" s="2">
        <f t="shared" si="18"/>
        <v>507.67920455677137</v>
      </c>
      <c r="N25" s="2">
        <f t="shared" si="19"/>
        <v>0.8852698585483012</v>
      </c>
      <c r="O25" s="2">
        <f t="shared" si="9"/>
        <v>565.05204492827579</v>
      </c>
      <c r="P25" s="2">
        <f t="shared" si="10"/>
        <v>1.096665412146177</v>
      </c>
    </row>
    <row r="26" spans="1:16" x14ac:dyDescent="0.3">
      <c r="A26" s="4">
        <v>24</v>
      </c>
      <c r="B26" s="4">
        <v>-1184</v>
      </c>
      <c r="C26" s="4">
        <v>3611</v>
      </c>
      <c r="D26" s="6">
        <f t="shared" si="11"/>
        <v>3800.1548652653619</v>
      </c>
      <c r="E26" s="2">
        <f t="shared" si="12"/>
        <v>0.21928930869377672</v>
      </c>
      <c r="F26" s="2">
        <f t="shared" si="13"/>
        <v>-71.88279616383069</v>
      </c>
      <c r="G26" s="4">
        <v>-717</v>
      </c>
      <c r="H26" s="4">
        <v>2203</v>
      </c>
      <c r="I26" s="2">
        <f t="shared" si="14"/>
        <v>2316.7429723644354</v>
      </c>
      <c r="J26" s="2">
        <f t="shared" si="15"/>
        <v>-72.008235303628581</v>
      </c>
      <c r="K26" s="2">
        <f t="shared" si="16"/>
        <v>508.03696483096252</v>
      </c>
      <c r="L26" s="2">
        <f t="shared" si="17"/>
        <v>0.12543913979789068</v>
      </c>
      <c r="M26" s="2">
        <f t="shared" si="18"/>
        <v>508.03574851735885</v>
      </c>
      <c r="N26" s="2">
        <f t="shared" si="19"/>
        <v>1.1116937813771381</v>
      </c>
      <c r="O26" s="2">
        <f t="shared" si="9"/>
        <v>565.4936391196361</v>
      </c>
      <c r="P26" s="2">
        <f t="shared" si="10"/>
        <v>1.3773762039315349</v>
      </c>
    </row>
    <row r="27" spans="1:16" x14ac:dyDescent="0.3">
      <c r="A27" s="4">
        <v>25</v>
      </c>
      <c r="B27" s="4">
        <v>-1233</v>
      </c>
      <c r="C27" s="4">
        <v>3593</v>
      </c>
      <c r="D27" s="6">
        <f t="shared" si="11"/>
        <v>3798.6758219147891</v>
      </c>
      <c r="E27" s="2">
        <f t="shared" si="12"/>
        <v>0.21937469065556564</v>
      </c>
      <c r="F27" s="2">
        <f t="shared" si="13"/>
        <v>-71.095499577150846</v>
      </c>
      <c r="G27" s="4">
        <v>-749</v>
      </c>
      <c r="H27" s="4">
        <v>2192</v>
      </c>
      <c r="I27" s="2">
        <f t="shared" si="14"/>
        <v>2316.4336813299878</v>
      </c>
      <c r="J27" s="2">
        <f t="shared" si="15"/>
        <v>-71.170932673133223</v>
      </c>
      <c r="K27" s="2">
        <f t="shared" si="16"/>
        <v>508.16692226589919</v>
      </c>
      <c r="L27" s="2">
        <f t="shared" si="17"/>
        <v>7.543309598237613E-2</v>
      </c>
      <c r="M27" s="2">
        <f t="shared" si="18"/>
        <v>508.16648230459026</v>
      </c>
      <c r="N27" s="2">
        <f t="shared" si="19"/>
        <v>0.6686907917876872</v>
      </c>
      <c r="O27" s="2">
        <f t="shared" si="9"/>
        <v>565.65583908454119</v>
      </c>
      <c r="P27" s="2">
        <f t="shared" si="10"/>
        <v>0.82854869736237946</v>
      </c>
    </row>
    <row r="28" spans="1:16" x14ac:dyDescent="0.3">
      <c r="A28" s="4">
        <v>26</v>
      </c>
      <c r="B28" s="4">
        <v>-1283</v>
      </c>
      <c r="C28" s="4">
        <v>3578</v>
      </c>
      <c r="D28" s="6">
        <f t="shared" si="11"/>
        <v>3801.0752426122795</v>
      </c>
      <c r="E28" s="2">
        <f t="shared" si="12"/>
        <v>0.21923621084665168</v>
      </c>
      <c r="F28" s="2">
        <f t="shared" si="13"/>
        <v>-70.308814508218987</v>
      </c>
      <c r="G28" s="4">
        <v>-780</v>
      </c>
      <c r="H28" s="4">
        <v>2188</v>
      </c>
      <c r="I28" s="2">
        <f t="shared" si="14"/>
        <v>2322.8740818219139</v>
      </c>
      <c r="J28" s="2">
        <f t="shared" si="15"/>
        <v>-70.415057536651361</v>
      </c>
      <c r="K28" s="2">
        <f t="shared" si="16"/>
        <v>509.25811197253154</v>
      </c>
      <c r="L28" s="2">
        <f t="shared" si="17"/>
        <v>0.10624302843237388</v>
      </c>
      <c r="M28" s="2">
        <f t="shared" si="18"/>
        <v>509.25723734528009</v>
      </c>
      <c r="N28" s="2">
        <f t="shared" si="19"/>
        <v>0.94383329066353439</v>
      </c>
      <c r="O28" s="2">
        <f t="shared" si="9"/>
        <v>567.00755687528726</v>
      </c>
      <c r="P28" s="2">
        <f t="shared" si="10"/>
        <v>1.170035190002344</v>
      </c>
    </row>
    <row r="29" spans="1:16" x14ac:dyDescent="0.3">
      <c r="A29" s="4">
        <v>27</v>
      </c>
      <c r="B29" s="4">
        <v>-1334</v>
      </c>
      <c r="C29" s="4">
        <v>3557</v>
      </c>
      <c r="D29" s="6">
        <f t="shared" si="11"/>
        <v>3798.921557494969</v>
      </c>
      <c r="E29" s="2">
        <f t="shared" si="12"/>
        <v>0.21936050026861786</v>
      </c>
      <c r="F29" s="2">
        <f t="shared" si="13"/>
        <v>-69.477411638912017</v>
      </c>
      <c r="G29" s="4">
        <v>-806</v>
      </c>
      <c r="H29" s="4">
        <v>2175</v>
      </c>
      <c r="I29" s="2">
        <f t="shared" si="14"/>
        <v>2319.5389628113599</v>
      </c>
      <c r="J29" s="2">
        <f t="shared" si="15"/>
        <v>-69.70190409858624</v>
      </c>
      <c r="K29" s="2">
        <f t="shared" si="16"/>
        <v>508.81522727485088</v>
      </c>
      <c r="L29" s="2">
        <f t="shared" si="17"/>
        <v>0.22449245967422371</v>
      </c>
      <c r="M29" s="2">
        <f t="shared" si="18"/>
        <v>508.8113256334417</v>
      </c>
      <c r="N29" s="2">
        <f t="shared" si="19"/>
        <v>1.9925897465122815</v>
      </c>
      <c r="O29" s="2">
        <f t="shared" si="9"/>
        <v>566.45398170206408</v>
      </c>
      <c r="P29" s="2">
        <f t="shared" si="10"/>
        <v>2.4696488908777305</v>
      </c>
    </row>
    <row r="30" spans="1:16" x14ac:dyDescent="0.3">
      <c r="A30" s="4">
        <v>28</v>
      </c>
      <c r="B30" s="4">
        <v>-1381</v>
      </c>
      <c r="C30" s="4">
        <v>3548</v>
      </c>
      <c r="D30" s="6">
        <f t="shared" si="11"/>
        <v>3807.2910316916937</v>
      </c>
      <c r="E30" s="2">
        <f t="shared" si="12"/>
        <v>0.21887828547823368</v>
      </c>
      <c r="F30" s="2">
        <f t="shared" si="13"/>
        <v>-68.767214013271854</v>
      </c>
      <c r="G30" s="4">
        <v>-837</v>
      </c>
      <c r="H30" s="4">
        <v>2167</v>
      </c>
      <c r="I30" s="2">
        <f t="shared" si="14"/>
        <v>2323.0277656541257</v>
      </c>
      <c r="J30" s="2">
        <f t="shared" si="15"/>
        <v>-68.91597000954026</v>
      </c>
      <c r="K30" s="2">
        <f t="shared" si="16"/>
        <v>508.46033446470705</v>
      </c>
      <c r="L30" s="2">
        <f t="shared" si="17"/>
        <v>0.14875599626840597</v>
      </c>
      <c r="M30" s="2">
        <f t="shared" si="18"/>
        <v>508.45862251860609</v>
      </c>
      <c r="N30" s="2">
        <f t="shared" si="19"/>
        <v>1.319435653380691</v>
      </c>
      <c r="O30" s="2">
        <f t="shared" si="9"/>
        <v>566.01748521436366</v>
      </c>
      <c r="P30" s="2">
        <f t="shared" si="10"/>
        <v>1.6350738644314284</v>
      </c>
    </row>
    <row r="31" spans="1:16" x14ac:dyDescent="0.3">
      <c r="A31" s="4">
        <v>29</v>
      </c>
      <c r="B31" s="4">
        <v>-1430</v>
      </c>
      <c r="C31" s="4">
        <v>3526</v>
      </c>
      <c r="D31" s="6">
        <f t="shared" si="11"/>
        <v>3804.9409982284878</v>
      </c>
      <c r="E31" s="2">
        <f t="shared" si="12"/>
        <v>0.21901347056927253</v>
      </c>
      <c r="F31" s="2">
        <f t="shared" si="13"/>
        <v>-67.959009473698146</v>
      </c>
      <c r="G31" s="4">
        <v>-867</v>
      </c>
      <c r="H31" s="4">
        <v>2153</v>
      </c>
      <c r="I31" s="2">
        <f t="shared" si="14"/>
        <v>2321.0122791575232</v>
      </c>
      <c r="J31" s="2">
        <f t="shared" si="15"/>
        <v>-68.100177796684818</v>
      </c>
      <c r="K31" s="2">
        <f t="shared" si="16"/>
        <v>508.33295449218639</v>
      </c>
      <c r="L31" s="2">
        <f t="shared" si="17"/>
        <v>0.14116832298667248</v>
      </c>
      <c r="M31" s="2">
        <f t="shared" si="18"/>
        <v>508.33141312238092</v>
      </c>
      <c r="N31" s="2">
        <f t="shared" si="19"/>
        <v>1.251820977029128</v>
      </c>
      <c r="O31" s="2">
        <f t="shared" si="9"/>
        <v>565.85989696949946</v>
      </c>
      <c r="P31" s="2">
        <f t="shared" si="10"/>
        <v>1.5511964071852917</v>
      </c>
    </row>
    <row r="32" spans="1:16" x14ac:dyDescent="0.3">
      <c r="A32" s="4">
        <v>30</v>
      </c>
      <c r="B32" s="4">
        <v>-1479</v>
      </c>
      <c r="C32" s="4">
        <v>3506</v>
      </c>
      <c r="D32" s="6">
        <f t="shared" si="11"/>
        <v>3805.1907967932434</v>
      </c>
      <c r="E32" s="2">
        <f t="shared" si="12"/>
        <v>0.21899909303775519</v>
      </c>
      <c r="F32" s="2">
        <f t="shared" si="13"/>
        <v>-67.161683535773037</v>
      </c>
      <c r="G32" s="4">
        <v>-898</v>
      </c>
      <c r="H32" s="4">
        <v>2139</v>
      </c>
      <c r="I32" s="2">
        <f t="shared" si="14"/>
        <v>2319.854521300851</v>
      </c>
      <c r="J32" s="2">
        <f t="shared" si="15"/>
        <v>-67.260345423471421</v>
      </c>
      <c r="K32" s="2">
        <f t="shared" si="16"/>
        <v>508.04603614442209</v>
      </c>
      <c r="L32" s="2">
        <f t="shared" si="17"/>
        <v>9.8661887698384021E-2</v>
      </c>
      <c r="M32" s="2">
        <f t="shared" si="18"/>
        <v>508.04528367979043</v>
      </c>
      <c r="N32" s="2">
        <f t="shared" si="19"/>
        <v>0.87439852512158078</v>
      </c>
      <c r="O32" s="2">
        <f t="shared" si="9"/>
        <v>565.50558309694952</v>
      </c>
      <c r="P32" s="2">
        <f t="shared" si="10"/>
        <v>1.0833746510700553</v>
      </c>
    </row>
    <row r="33" spans="1:16" x14ac:dyDescent="0.3">
      <c r="A33" s="4">
        <v>31</v>
      </c>
      <c r="B33" s="4">
        <v>-1530</v>
      </c>
      <c r="C33" s="4">
        <v>3499</v>
      </c>
      <c r="D33" s="6">
        <f t="shared" si="11"/>
        <v>3818.8874034200066</v>
      </c>
      <c r="E33" s="2">
        <f t="shared" si="12"/>
        <v>0.218213643216357</v>
      </c>
      <c r="F33" s="2">
        <f t="shared" si="13"/>
        <v>-66.415460175160888</v>
      </c>
      <c r="G33" s="4">
        <v>-929</v>
      </c>
      <c r="H33" s="4">
        <v>2133</v>
      </c>
      <c r="I33" s="2">
        <f t="shared" si="14"/>
        <v>2326.5274552431142</v>
      </c>
      <c r="J33" s="2">
        <f t="shared" si="15"/>
        <v>-66.498814257099042</v>
      </c>
      <c r="K33" s="2">
        <f t="shared" si="16"/>
        <v>507.68003205147988</v>
      </c>
      <c r="L33" s="2">
        <f t="shared" si="17"/>
        <v>8.3354081938153968E-2</v>
      </c>
      <c r="M33" s="2">
        <f t="shared" si="18"/>
        <v>507.67949535587223</v>
      </c>
      <c r="N33" s="2">
        <f t="shared" si="19"/>
        <v>0.73819983647281429</v>
      </c>
      <c r="O33" s="2">
        <f t="shared" si="9"/>
        <v>565.05247100889119</v>
      </c>
      <c r="P33" s="2">
        <f t="shared" si="10"/>
        <v>0.91447634241912379</v>
      </c>
    </row>
    <row r="34" spans="1:16" x14ac:dyDescent="0.3">
      <c r="A34" s="4">
        <v>32</v>
      </c>
      <c r="B34" s="4">
        <v>-1571</v>
      </c>
      <c r="C34" s="4">
        <v>3470</v>
      </c>
      <c r="D34" s="6">
        <f t="shared" si="11"/>
        <v>3809.0603828240896</v>
      </c>
      <c r="E34" s="2">
        <f t="shared" si="12"/>
        <v>0.21877661406761123</v>
      </c>
      <c r="F34" s="2">
        <f t="shared" si="13"/>
        <v>-65.675236687468001</v>
      </c>
      <c r="G34" s="4">
        <v>-957</v>
      </c>
      <c r="H34" s="4">
        <v>2118</v>
      </c>
      <c r="I34" s="2">
        <f t="shared" si="14"/>
        <v>2324.1714652753139</v>
      </c>
      <c r="J34" s="2">
        <f t="shared" si="15"/>
        <v>-65.717895667308525</v>
      </c>
      <c r="K34" s="2">
        <f t="shared" si="16"/>
        <v>508.47436368549188</v>
      </c>
      <c r="L34" s="2">
        <f t="shared" si="17"/>
        <v>4.265897984052458E-2</v>
      </c>
      <c r="M34" s="2">
        <f t="shared" si="18"/>
        <v>508.47422289469648</v>
      </c>
      <c r="N34" s="2">
        <f t="shared" si="19"/>
        <v>0.37838736817533924</v>
      </c>
      <c r="O34" s="2">
        <f t="shared" si="9"/>
        <v>566.03725843083885</v>
      </c>
      <c r="P34" s="2">
        <f t="shared" si="10"/>
        <v>0.468909295838635</v>
      </c>
    </row>
    <row r="35" spans="1:16" x14ac:dyDescent="0.3">
      <c r="A35" s="4">
        <v>33</v>
      </c>
      <c r="B35" s="4">
        <v>-1625</v>
      </c>
      <c r="C35" s="4">
        <v>3449</v>
      </c>
      <c r="D35" s="6">
        <f t="shared" si="11"/>
        <v>3812.6402925007233</v>
      </c>
      <c r="E35" s="2">
        <f t="shared" si="12"/>
        <v>0.2185711919827473</v>
      </c>
      <c r="F35" s="2">
        <f t="shared" si="13"/>
        <v>-64.805334791978254</v>
      </c>
      <c r="G35" s="4">
        <v>-981</v>
      </c>
      <c r="H35" s="4">
        <v>2108</v>
      </c>
      <c r="I35" s="2">
        <f t="shared" si="14"/>
        <v>2325.0860199141021</v>
      </c>
      <c r="J35" s="2">
        <f t="shared" si="15"/>
        <v>-65.077134727255242</v>
      </c>
      <c r="K35" s="2">
        <f t="shared" si="16"/>
        <v>508.19682283504699</v>
      </c>
      <c r="L35" s="2">
        <f t="shared" si="17"/>
        <v>0.27179993527698798</v>
      </c>
      <c r="M35" s="2">
        <f t="shared" si="18"/>
        <v>508.19111049410856</v>
      </c>
      <c r="N35" s="2">
        <f t="shared" si="19"/>
        <v>2.4095548138378602</v>
      </c>
      <c r="O35" s="2">
        <f t="shared" si="9"/>
        <v>565.68487684285083</v>
      </c>
      <c r="P35" s="2">
        <f t="shared" si="10"/>
        <v>2.9856174020743982</v>
      </c>
    </row>
    <row r="36" spans="1:16" x14ac:dyDescent="0.3">
      <c r="A36" s="4">
        <v>34</v>
      </c>
      <c r="B36" s="4">
        <v>-1663</v>
      </c>
      <c r="C36" s="4">
        <v>3430</v>
      </c>
      <c r="D36" s="6">
        <f t="shared" si="11"/>
        <v>3811.8852291221992</v>
      </c>
      <c r="E36" s="2">
        <f t="shared" si="12"/>
        <v>0.21861448685988727</v>
      </c>
      <c r="F36" s="2">
        <f t="shared" si="13"/>
        <v>-64.166582775697421</v>
      </c>
      <c r="G36" s="4">
        <v>-1020</v>
      </c>
      <c r="H36" s="4">
        <v>2093</v>
      </c>
      <c r="I36" s="2">
        <f t="shared" si="14"/>
        <v>2328.3146265056189</v>
      </c>
      <c r="J36" s="2">
        <f t="shared" si="15"/>
        <v>-64.05070282107323</v>
      </c>
      <c r="K36" s="2">
        <f t="shared" si="16"/>
        <v>509.00330732189593</v>
      </c>
      <c r="L36" s="2">
        <f t="shared" si="17"/>
        <v>-0.11587995462419087</v>
      </c>
      <c r="M36" s="2">
        <f t="shared" si="18"/>
        <v>509.00226735053536</v>
      </c>
      <c r="N36" s="2">
        <f t="shared" si="19"/>
        <v>-1.0289298530787763</v>
      </c>
      <c r="O36" s="2">
        <f t="shared" si="9"/>
        <v>566.69145165059854</v>
      </c>
      <c r="P36" s="2">
        <f t="shared" si="10"/>
        <v>-1.2753814093116125</v>
      </c>
    </row>
    <row r="37" spans="1:16" x14ac:dyDescent="0.3">
      <c r="A37" s="4">
        <v>35</v>
      </c>
      <c r="B37" s="4">
        <v>-1721</v>
      </c>
      <c r="C37" s="4">
        <v>3408</v>
      </c>
      <c r="D37" s="6">
        <f t="shared" si="11"/>
        <v>3817.8927433860686</v>
      </c>
      <c r="E37" s="2">
        <f t="shared" si="12"/>
        <v>0.2182704935273416</v>
      </c>
      <c r="F37" s="2">
        <f t="shared" si="13"/>
        <v>-63.238819594692103</v>
      </c>
      <c r="G37" s="4">
        <v>-1042</v>
      </c>
      <c r="H37" s="4">
        <v>2070</v>
      </c>
      <c r="I37" s="2">
        <f t="shared" si="14"/>
        <v>2317.4693093976457</v>
      </c>
      <c r="J37" s="2">
        <f t="shared" si="15"/>
        <v>-63.312252120933017</v>
      </c>
      <c r="K37" s="2">
        <f t="shared" si="16"/>
        <v>505.83516989669164</v>
      </c>
      <c r="L37" s="2">
        <f t="shared" si="17"/>
        <v>7.3432526240914342E-2</v>
      </c>
      <c r="M37" s="2">
        <f t="shared" si="18"/>
        <v>505.83475487557837</v>
      </c>
      <c r="N37" s="2">
        <f t="shared" si="19"/>
        <v>0.64796942709424799</v>
      </c>
      <c r="O37" s="2">
        <f t="shared" si="9"/>
        <v>562.76819314194563</v>
      </c>
      <c r="P37" s="2">
        <f t="shared" si="10"/>
        <v>0.80204076231480448</v>
      </c>
    </row>
    <row r="38" spans="1:16" x14ac:dyDescent="0.3">
      <c r="A38" s="4">
        <v>36</v>
      </c>
      <c r="B38" s="4">
        <v>-1759</v>
      </c>
      <c r="C38" s="4">
        <v>3387</v>
      </c>
      <c r="D38" s="6">
        <f t="shared" si="11"/>
        <v>3816.5232869720576</v>
      </c>
      <c r="E38" s="2">
        <f t="shared" si="12"/>
        <v>0.21834881400513634</v>
      </c>
      <c r="F38" s="2">
        <f t="shared" si="13"/>
        <v>-62.587132827193841</v>
      </c>
      <c r="G38" s="4">
        <v>-1065</v>
      </c>
      <c r="H38" s="4">
        <v>2068</v>
      </c>
      <c r="I38" s="2">
        <f t="shared" si="14"/>
        <v>2326.1231695677684</v>
      </c>
      <c r="J38" s="2">
        <f t="shared" si="15"/>
        <v>-62.783799245514025</v>
      </c>
      <c r="K38" s="2">
        <f t="shared" si="16"/>
        <v>507.9062353049909</v>
      </c>
      <c r="L38" s="2">
        <f t="shared" si="17"/>
        <v>0.19666641832018428</v>
      </c>
      <c r="M38" s="2">
        <f t="shared" si="18"/>
        <v>507.90324629184033</v>
      </c>
      <c r="N38" s="2">
        <f t="shared" si="19"/>
        <v>1.742488995378539</v>
      </c>
      <c r="O38" s="2">
        <f t="shared" si="9"/>
        <v>565.32897865190625</v>
      </c>
      <c r="P38" s="2">
        <f t="shared" si="10"/>
        <v>2.1587968898837868</v>
      </c>
    </row>
    <row r="39" spans="1:16" x14ac:dyDescent="0.3">
      <c r="A39" s="4">
        <v>37</v>
      </c>
      <c r="B39" s="4">
        <v>-1805</v>
      </c>
      <c r="C39" s="4">
        <v>3359</v>
      </c>
      <c r="D39" s="6">
        <f t="shared" si="11"/>
        <v>3813.2539910160717</v>
      </c>
      <c r="E39" s="2">
        <f t="shared" si="12"/>
        <v>0.21853601551238006</v>
      </c>
      <c r="F39" s="2">
        <f t="shared" si="13"/>
        <v>-61.77941099262916</v>
      </c>
      <c r="G39" s="4">
        <v>-1096</v>
      </c>
      <c r="H39" s="4">
        <v>2053</v>
      </c>
      <c r="I39" s="2">
        <f t="shared" si="14"/>
        <v>2327.2354844321189</v>
      </c>
      <c r="J39" s="2">
        <f t="shared" si="15"/>
        <v>-61.935740386258523</v>
      </c>
      <c r="K39" s="2">
        <f t="shared" si="16"/>
        <v>508.58476992681886</v>
      </c>
      <c r="L39" s="2">
        <f t="shared" si="17"/>
        <v>0.15632939362936327</v>
      </c>
      <c r="M39" s="2">
        <f t="shared" si="18"/>
        <v>508.58287876514254</v>
      </c>
      <c r="N39" s="2">
        <f t="shared" si="19"/>
        <v>1.3869493413958596</v>
      </c>
      <c r="O39" s="2">
        <f t="shared" si="9"/>
        <v>566.17142012223303</v>
      </c>
      <c r="P39" s="2">
        <f t="shared" si="10"/>
        <v>1.7188334053267522</v>
      </c>
    </row>
    <row r="40" spans="1:16" x14ac:dyDescent="0.3">
      <c r="A40" s="4">
        <v>38</v>
      </c>
      <c r="B40" s="4">
        <v>-1855</v>
      </c>
      <c r="C40" s="4">
        <v>3337</v>
      </c>
      <c r="D40" s="6">
        <f t="shared" si="11"/>
        <v>3817.9305913020471</v>
      </c>
      <c r="E40" s="2">
        <f t="shared" si="12"/>
        <v>0.21826832976791696</v>
      </c>
      <c r="F40" s="2">
        <f t="shared" si="13"/>
        <v>-60.961724786082648</v>
      </c>
      <c r="G40" s="4">
        <v>-1125</v>
      </c>
      <c r="H40" s="4">
        <v>2046</v>
      </c>
      <c r="I40" s="2">
        <f t="shared" si="14"/>
        <v>2334.8963574428735</v>
      </c>
      <c r="J40" s="2">
        <f t="shared" si="15"/>
        <v>-61.226695993992692</v>
      </c>
      <c r="K40" s="2">
        <f t="shared" si="16"/>
        <v>509.63392812024921</v>
      </c>
      <c r="L40" s="2">
        <f t="shared" si="17"/>
        <v>0.26497120791004392</v>
      </c>
      <c r="M40" s="2">
        <f t="shared" si="18"/>
        <v>509.62848385569356</v>
      </c>
      <c r="N40" s="2">
        <f t="shared" si="19"/>
        <v>2.355660039650016</v>
      </c>
      <c r="O40" s="2">
        <f t="shared" si="9"/>
        <v>567.46652920029464</v>
      </c>
      <c r="P40" s="2">
        <f t="shared" si="10"/>
        <v>2.9207067561722502</v>
      </c>
    </row>
    <row r="41" spans="1:16" x14ac:dyDescent="0.3">
      <c r="A41" s="4">
        <v>39</v>
      </c>
      <c r="B41" s="4">
        <v>-1901</v>
      </c>
      <c r="C41" s="4">
        <v>3312</v>
      </c>
      <c r="D41" s="6">
        <f t="shared" si="11"/>
        <v>3818.7884204286574</v>
      </c>
      <c r="E41" s="2">
        <f t="shared" si="12"/>
        <v>0.21821929931373157</v>
      </c>
      <c r="F41" s="2">
        <f t="shared" si="13"/>
        <v>-60.175827736973787</v>
      </c>
      <c r="G41" s="4">
        <v>-1154</v>
      </c>
      <c r="H41" s="4">
        <v>2024</v>
      </c>
      <c r="I41" s="2">
        <f t="shared" si="14"/>
        <v>2329.8695242437934</v>
      </c>
      <c r="J41" s="2">
        <f t="shared" si="15"/>
        <v>-60.34061319397437</v>
      </c>
      <c r="K41" s="2">
        <f t="shared" si="16"/>
        <v>508.42249507289773</v>
      </c>
      <c r="L41" s="2">
        <f t="shared" si="17"/>
        <v>0.16478545700058334</v>
      </c>
      <c r="M41" s="2">
        <f t="shared" si="18"/>
        <v>508.42039445766562</v>
      </c>
      <c r="N41" s="2">
        <f t="shared" si="19"/>
        <v>1.461504588573562</v>
      </c>
      <c r="O41" s="2">
        <f t="shared" si="9"/>
        <v>565.9700035647902</v>
      </c>
      <c r="P41" s="2">
        <f t="shared" si="10"/>
        <v>1.8110979687491311</v>
      </c>
    </row>
    <row r="42" spans="1:16" x14ac:dyDescent="0.3">
      <c r="A42" s="4">
        <v>40</v>
      </c>
      <c r="B42" s="4">
        <v>-1942</v>
      </c>
      <c r="C42" s="4">
        <v>3289</v>
      </c>
      <c r="D42" s="6">
        <f t="shared" si="11"/>
        <v>3819.5398937568384</v>
      </c>
      <c r="E42" s="2">
        <f t="shared" si="12"/>
        <v>0.21817636587470748</v>
      </c>
      <c r="F42" s="2">
        <f t="shared" si="13"/>
        <v>-59.470293785747167</v>
      </c>
      <c r="G42" s="4">
        <v>-1177</v>
      </c>
      <c r="H42" s="4">
        <v>2011</v>
      </c>
      <c r="I42" s="2">
        <f t="shared" si="14"/>
        <v>2330.1180227619375</v>
      </c>
      <c r="J42" s="2">
        <f t="shared" si="15"/>
        <v>-59.690634795838854</v>
      </c>
      <c r="K42" s="2">
        <f t="shared" si="16"/>
        <v>508.37668226535845</v>
      </c>
      <c r="L42" s="2">
        <f t="shared" si="17"/>
        <v>0.22034101009168694</v>
      </c>
      <c r="M42" s="2">
        <f t="shared" si="18"/>
        <v>508.37292683208256</v>
      </c>
      <c r="N42" s="2">
        <f t="shared" si="19"/>
        <v>1.9540561187507426</v>
      </c>
      <c r="O42" s="2">
        <f t="shared" si="9"/>
        <v>565.91071813605868</v>
      </c>
      <c r="P42" s="2">
        <f t="shared" si="10"/>
        <v>2.4214169426855947</v>
      </c>
    </row>
    <row r="43" spans="1:16" x14ac:dyDescent="0.3">
      <c r="A43" s="4">
        <v>41</v>
      </c>
      <c r="B43" s="4">
        <v>-1991</v>
      </c>
      <c r="C43" s="4">
        <v>3262</v>
      </c>
      <c r="D43" s="6">
        <f t="shared" si="11"/>
        <v>3821.6128794005285</v>
      </c>
      <c r="E43" s="2">
        <f t="shared" si="12"/>
        <v>0.21805801886036477</v>
      </c>
      <c r="F43" s="2">
        <f t="shared" si="13"/>
        <v>-58.631429515428209</v>
      </c>
      <c r="G43" s="4">
        <v>-1208</v>
      </c>
      <c r="H43" s="4">
        <v>1993</v>
      </c>
      <c r="I43" s="2">
        <f t="shared" si="14"/>
        <v>2330.5177536332994</v>
      </c>
      <c r="J43" s="2">
        <f t="shared" si="15"/>
        <v>-58.808862333030248</v>
      </c>
      <c r="K43" s="2">
        <f t="shared" si="16"/>
        <v>508.18808427618495</v>
      </c>
      <c r="L43" s="2">
        <f t="shared" si="17"/>
        <v>0.17743281760203899</v>
      </c>
      <c r="M43" s="2">
        <f t="shared" si="18"/>
        <v>508.18564996373897</v>
      </c>
      <c r="N43" s="2">
        <f t="shared" si="19"/>
        <v>1.5729498501341928</v>
      </c>
      <c r="O43" s="2">
        <f t="shared" si="9"/>
        <v>565.67902992766903</v>
      </c>
      <c r="P43" s="2">
        <f t="shared" si="10"/>
        <v>1.94899729013713</v>
      </c>
    </row>
    <row r="44" spans="1:16" x14ac:dyDescent="0.3">
      <c r="A44" s="4">
        <v>42</v>
      </c>
      <c r="B44" s="4">
        <v>-2038</v>
      </c>
      <c r="C44" s="4">
        <v>3235</v>
      </c>
      <c r="D44" s="6">
        <f t="shared" si="11"/>
        <v>3823.4368047608687</v>
      </c>
      <c r="E44" s="2">
        <f t="shared" si="12"/>
        <v>0.21795399685845024</v>
      </c>
      <c r="F44" s="2">
        <f t="shared" si="13"/>
        <v>-57.819018005916966</v>
      </c>
      <c r="G44" s="4">
        <v>-1236</v>
      </c>
      <c r="H44" s="4">
        <v>1978</v>
      </c>
      <c r="I44" s="2">
        <f t="shared" si="14"/>
        <v>2332.4193448005872</v>
      </c>
      <c r="J44" s="2">
        <f t="shared" si="15"/>
        <v>-58.029242905379924</v>
      </c>
      <c r="K44" s="2">
        <f t="shared" si="16"/>
        <v>508.36011854925573</v>
      </c>
      <c r="L44" s="2">
        <f t="shared" si="17"/>
        <v>0.21022489946295764</v>
      </c>
      <c r="M44" s="2">
        <f t="shared" si="18"/>
        <v>508.35670014372266</v>
      </c>
      <c r="N44" s="2">
        <f t="shared" si="19"/>
        <v>1.8642828107903036</v>
      </c>
      <c r="O44" s="2">
        <f t="shared" si="9"/>
        <v>565.89070508265831</v>
      </c>
      <c r="P44" s="2">
        <f t="shared" si="10"/>
        <v>2.310155476628152</v>
      </c>
    </row>
    <row r="45" spans="1:16" x14ac:dyDescent="0.3">
      <c r="A45" s="4">
        <v>43</v>
      </c>
      <c r="B45" s="4">
        <v>-2082</v>
      </c>
      <c r="C45" s="4">
        <v>3205</v>
      </c>
      <c r="D45" s="6">
        <f t="shared" si="11"/>
        <v>3821.8776798845879</v>
      </c>
      <c r="E45" s="2">
        <f t="shared" si="12"/>
        <v>0.21804291061416131</v>
      </c>
      <c r="F45" s="2">
        <f t="shared" si="13"/>
        <v>-57.020751472177601</v>
      </c>
      <c r="G45" s="4">
        <v>-1264</v>
      </c>
      <c r="H45" s="4">
        <v>1957</v>
      </c>
      <c r="I45" s="2">
        <f t="shared" si="14"/>
        <v>2329.7092093220563</v>
      </c>
      <c r="J45" s="2">
        <f t="shared" si="15"/>
        <v>-57.171109330543835</v>
      </c>
      <c r="K45" s="2">
        <f t="shared" si="16"/>
        <v>507.97657688519752</v>
      </c>
      <c r="L45" s="2">
        <f t="shared" si="17"/>
        <v>0.15035785836623461</v>
      </c>
      <c r="M45" s="2">
        <f t="shared" si="18"/>
        <v>507.97482953484956</v>
      </c>
      <c r="N45" s="2">
        <f t="shared" si="19"/>
        <v>1.3323749635641604</v>
      </c>
      <c r="O45" s="2">
        <f t="shared" si="9"/>
        <v>565.41801345013209</v>
      </c>
      <c r="P45" s="2">
        <f t="shared" si="10"/>
        <v>1.6507529102117864</v>
      </c>
    </row>
    <row r="46" spans="1:16" x14ac:dyDescent="0.3">
      <c r="A46" s="4">
        <v>44</v>
      </c>
      <c r="B46" s="4">
        <v>-2121</v>
      </c>
      <c r="C46" s="4">
        <v>3183</v>
      </c>
      <c r="D46" s="6">
        <f t="shared" si="11"/>
        <v>3824.9352935703369</v>
      </c>
      <c r="E46" s="2">
        <f t="shared" si="12"/>
        <v>0.21786860936815197</v>
      </c>
      <c r="F46" s="2">
        <f t="shared" si="13"/>
        <v>-56.350963743690194</v>
      </c>
      <c r="G46" s="4">
        <v>-1286</v>
      </c>
      <c r="H46" s="4">
        <v>1946</v>
      </c>
      <c r="I46" s="2">
        <f t="shared" si="14"/>
        <v>2332.5333866849583</v>
      </c>
      <c r="J46" s="2">
        <f t="shared" si="15"/>
        <v>-56.570245647424528</v>
      </c>
      <c r="K46" s="2">
        <f t="shared" si="16"/>
        <v>508.18580526183774</v>
      </c>
      <c r="L46" s="2">
        <f t="shared" si="17"/>
        <v>0.21928190373433409</v>
      </c>
      <c r="M46" s="2">
        <f t="shared" si="18"/>
        <v>508.18208724050999</v>
      </c>
      <c r="N46" s="2">
        <f t="shared" si="19"/>
        <v>1.9439335125524662</v>
      </c>
      <c r="O46" s="2">
        <f t="shared" si="9"/>
        <v>565.67425555992577</v>
      </c>
      <c r="P46" s="2">
        <f t="shared" si="10"/>
        <v>2.4086685870769728</v>
      </c>
    </row>
    <row r="47" spans="1:16" x14ac:dyDescent="0.3">
      <c r="A47" s="4">
        <v>45</v>
      </c>
      <c r="B47" s="4">
        <v>-2170</v>
      </c>
      <c r="C47" s="4">
        <v>3157</v>
      </c>
      <c r="D47" s="6">
        <f t="shared" si="11"/>
        <v>3830.8679173263072</v>
      </c>
      <c r="E47" s="2">
        <f t="shared" si="12"/>
        <v>0.21753120998098649</v>
      </c>
      <c r="F47" s="2">
        <f t="shared" si="13"/>
        <v>-55.525017866527001</v>
      </c>
      <c r="G47" s="4">
        <v>-1317</v>
      </c>
      <c r="H47" s="4">
        <v>1930</v>
      </c>
      <c r="I47" s="2">
        <f t="shared" si="14"/>
        <v>2336.5335435212564</v>
      </c>
      <c r="J47" s="2">
        <f t="shared" si="15"/>
        <v>-55.719267952022761</v>
      </c>
      <c r="K47" s="2">
        <f t="shared" si="16"/>
        <v>508.26896888334085</v>
      </c>
      <c r="L47" s="2">
        <f t="shared" si="17"/>
        <v>0.19425008549576006</v>
      </c>
      <c r="M47" s="2">
        <f t="shared" si="18"/>
        <v>508.26605078510744</v>
      </c>
      <c r="N47" s="2">
        <f t="shared" si="19"/>
        <v>1.7223092187784561</v>
      </c>
      <c r="O47" s="2">
        <f t="shared" si="9"/>
        <v>565.77851827572067</v>
      </c>
      <c r="P47" s="2">
        <f t="shared" si="10"/>
        <v>2.1341405702314362</v>
      </c>
    </row>
    <row r="48" spans="1:16" x14ac:dyDescent="0.3">
      <c r="A48" s="4">
        <v>46</v>
      </c>
      <c r="B48" s="4">
        <v>-2216</v>
      </c>
      <c r="C48" s="4">
        <v>3140</v>
      </c>
      <c r="D48" s="6">
        <f t="shared" si="11"/>
        <v>3843.2090757594751</v>
      </c>
      <c r="E48" s="2">
        <f t="shared" si="12"/>
        <v>0.21683268250730137</v>
      </c>
      <c r="F48" s="2">
        <f t="shared" si="13"/>
        <v>-54.815927955171112</v>
      </c>
      <c r="G48" s="4">
        <v>-1338</v>
      </c>
      <c r="H48" s="4">
        <v>1913</v>
      </c>
      <c r="I48" s="2">
        <f t="shared" si="14"/>
        <v>2334.4834546425895</v>
      </c>
      <c r="J48" s="2">
        <f t="shared" si="15"/>
        <v>-55.05800912924979</v>
      </c>
      <c r="K48" s="2">
        <f t="shared" si="16"/>
        <v>506.19230973906468</v>
      </c>
      <c r="L48" s="2">
        <f t="shared" si="17"/>
        <v>0.24208117407867746</v>
      </c>
      <c r="M48" s="2">
        <f t="shared" si="18"/>
        <v>506.18779615826116</v>
      </c>
      <c r="N48" s="2">
        <f t="shared" si="19"/>
        <v>2.1376293906709596</v>
      </c>
      <c r="O48" s="2">
        <f t="shared" si="9"/>
        <v>563.20407020448874</v>
      </c>
      <c r="P48" s="2">
        <f t="shared" si="10"/>
        <v>2.6463207600448788</v>
      </c>
    </row>
    <row r="49" spans="1:16" x14ac:dyDescent="0.3">
      <c r="A49" s="4">
        <v>47</v>
      </c>
      <c r="B49" s="4">
        <v>-2254</v>
      </c>
      <c r="C49" s="4">
        <v>3098</v>
      </c>
      <c r="D49" s="6">
        <f t="shared" si="11"/>
        <v>3831.2034662753163</v>
      </c>
      <c r="E49" s="2">
        <f t="shared" si="12"/>
        <v>0.21751215790778591</v>
      </c>
      <c r="F49" s="2">
        <f t="shared" si="13"/>
        <v>-53.989001577831978</v>
      </c>
      <c r="G49" s="4">
        <v>-1367</v>
      </c>
      <c r="H49" s="4">
        <v>1895</v>
      </c>
      <c r="I49" s="2">
        <f t="shared" si="14"/>
        <v>2336.6030899577277</v>
      </c>
      <c r="J49" s="2">
        <f t="shared" si="15"/>
        <v>-54.221861922988168</v>
      </c>
      <c r="K49" s="2">
        <f t="shared" si="16"/>
        <v>508.23958027070574</v>
      </c>
      <c r="L49" s="2">
        <f t="shared" si="17"/>
        <v>0.23286034515619036</v>
      </c>
      <c r="M49" s="2">
        <f t="shared" si="18"/>
        <v>508.23538709317</v>
      </c>
      <c r="N49" s="2">
        <f t="shared" si="19"/>
        <v>2.064524157953024</v>
      </c>
      <c r="O49" s="2">
        <f t="shared" si="9"/>
        <v>565.74016519090674</v>
      </c>
      <c r="P49" s="2">
        <f t="shared" si="10"/>
        <v>2.5581494174713613</v>
      </c>
    </row>
    <row r="50" spans="1:16" x14ac:dyDescent="0.3">
      <c r="A50" s="4">
        <v>48</v>
      </c>
      <c r="B50" s="4">
        <v>-2295</v>
      </c>
      <c r="C50" s="4">
        <v>3068</v>
      </c>
      <c r="D50" s="6">
        <f t="shared" si="11"/>
        <v>3831.4030067326512</v>
      </c>
      <c r="E50" s="2">
        <f t="shared" si="12"/>
        <v>0.21750082981847019</v>
      </c>
      <c r="F50" s="2">
        <f t="shared" si="13"/>
        <v>-53.228867566762773</v>
      </c>
      <c r="G50" s="4">
        <v>-1392</v>
      </c>
      <c r="H50" s="4">
        <v>1880</v>
      </c>
      <c r="I50" s="2">
        <f t="shared" si="14"/>
        <v>2339.2443224255135</v>
      </c>
      <c r="J50" s="2">
        <f t="shared" si="15"/>
        <v>-53.509935152542873</v>
      </c>
      <c r="K50" s="2">
        <f t="shared" si="16"/>
        <v>508.78758127569421</v>
      </c>
      <c r="L50" s="2">
        <f t="shared" si="17"/>
        <v>0.28106758578010016</v>
      </c>
      <c r="M50" s="2">
        <f t="shared" si="18"/>
        <v>508.7814656422189</v>
      </c>
      <c r="N50" s="2">
        <f t="shared" si="19"/>
        <v>2.4946100550496015</v>
      </c>
      <c r="O50" s="2">
        <f t="shared" si="9"/>
        <v>566.41635134554963</v>
      </c>
      <c r="P50" s="2">
        <f t="shared" si="10"/>
        <v>3.0918197576962814</v>
      </c>
    </row>
    <row r="51" spans="1:16" x14ac:dyDescent="0.3">
      <c r="A51" s="4">
        <v>49</v>
      </c>
      <c r="B51" s="4">
        <v>-2339</v>
      </c>
      <c r="C51" s="4">
        <v>3038</v>
      </c>
      <c r="D51" s="6">
        <f t="shared" si="11"/>
        <v>3834.105501939142</v>
      </c>
      <c r="E51" s="2">
        <f t="shared" si="12"/>
        <v>0.21734752288685474</v>
      </c>
      <c r="F51" s="2">
        <f t="shared" si="13"/>
        <v>-52.433388835788847</v>
      </c>
      <c r="G51" s="4">
        <v>-1420</v>
      </c>
      <c r="H51" s="4">
        <v>1859</v>
      </c>
      <c r="I51" s="2">
        <f t="shared" si="14"/>
        <v>2339.2907044657791</v>
      </c>
      <c r="J51" s="2">
        <f t="shared" si="15"/>
        <v>-52.652236591608386</v>
      </c>
      <c r="K51" s="2">
        <f t="shared" si="16"/>
        <v>508.43903992788245</v>
      </c>
      <c r="L51" s="2">
        <f t="shared" si="17"/>
        <v>0.21884775581953875</v>
      </c>
      <c r="M51" s="2">
        <f t="shared" si="18"/>
        <v>508.43533476889866</v>
      </c>
      <c r="N51" s="2">
        <f t="shared" si="19"/>
        <v>1.9410515770640466</v>
      </c>
      <c r="O51" s="2">
        <f t="shared" si="9"/>
        <v>565.98806749420692</v>
      </c>
      <c r="P51" s="2">
        <f t="shared" si="10"/>
        <v>2.4053688907033495</v>
      </c>
    </row>
    <row r="52" spans="1:16" x14ac:dyDescent="0.3">
      <c r="A52" s="4">
        <v>50</v>
      </c>
      <c r="B52" s="4">
        <v>-2381</v>
      </c>
      <c r="C52" s="4">
        <v>3009</v>
      </c>
      <c r="D52" s="6">
        <f t="shared" si="11"/>
        <v>3837.0876977207595</v>
      </c>
      <c r="E52" s="2">
        <f t="shared" si="12"/>
        <v>0.21717859975635576</v>
      </c>
      <c r="F52" s="2">
        <f t="shared" si="13"/>
        <v>-51.67188093930136</v>
      </c>
      <c r="G52" s="4">
        <v>-1445</v>
      </c>
      <c r="H52" s="4">
        <v>1841</v>
      </c>
      <c r="I52" s="2">
        <f t="shared" si="14"/>
        <v>2340.3645015253501</v>
      </c>
      <c r="J52" s="2">
        <f t="shared" si="15"/>
        <v>-51.897958919466859</v>
      </c>
      <c r="K52" s="2">
        <f t="shared" si="16"/>
        <v>508.27708536075704</v>
      </c>
      <c r="L52" s="2">
        <f t="shared" si="17"/>
        <v>0.22607798016549907</v>
      </c>
      <c r="M52" s="2">
        <f t="shared" si="18"/>
        <v>508.27313259765305</v>
      </c>
      <c r="N52" s="2">
        <f t="shared" si="19"/>
        <v>2.004540394930252</v>
      </c>
      <c r="O52" s="2">
        <f t="shared" si="9"/>
        <v>565.78700330670108</v>
      </c>
      <c r="P52" s="2">
        <f t="shared" si="10"/>
        <v>2.483865383417291</v>
      </c>
    </row>
    <row r="53" spans="1:16" x14ac:dyDescent="0.3">
      <c r="A53" s="4">
        <v>51</v>
      </c>
      <c r="B53" s="4">
        <v>-2425</v>
      </c>
      <c r="C53" s="4">
        <v>2978</v>
      </c>
      <c r="D53" s="6">
        <f t="shared" si="11"/>
        <v>3840.4568738627959</v>
      </c>
      <c r="E53" s="2">
        <f t="shared" si="12"/>
        <v>0.21698807217568172</v>
      </c>
      <c r="F53" s="2">
        <f t="shared" si="13"/>
        <v>-50.869693573922127</v>
      </c>
      <c r="G53" s="4">
        <v>-1471</v>
      </c>
      <c r="H53" s="4">
        <v>1825</v>
      </c>
      <c r="I53" s="2">
        <f t="shared" si="14"/>
        <v>2344.0277302113982</v>
      </c>
      <c r="J53" s="2">
        <f t="shared" si="15"/>
        <v>-51.156168133063943</v>
      </c>
      <c r="K53" s="2">
        <f t="shared" si="16"/>
        <v>508.62605830491026</v>
      </c>
      <c r="L53" s="2">
        <f t="shared" si="17"/>
        <v>0.28647455914181563</v>
      </c>
      <c r="M53" s="2">
        <f t="shared" si="18"/>
        <v>508.61970712942724</v>
      </c>
      <c r="N53" s="2">
        <f t="shared" si="19"/>
        <v>2.5417919595460527</v>
      </c>
      <c r="O53" s="2">
        <f t="shared" si="9"/>
        <v>566.21580961674044</v>
      </c>
      <c r="P53" s="2">
        <f t="shared" si="10"/>
        <v>3.1500700602975327</v>
      </c>
    </row>
    <row r="54" spans="1:16" x14ac:dyDescent="0.3">
      <c r="A54" s="4">
        <v>52</v>
      </c>
      <c r="B54" s="4">
        <v>-2466</v>
      </c>
      <c r="C54" s="4">
        <v>2946</v>
      </c>
      <c r="D54" s="6">
        <f t="shared" si="11"/>
        <v>3841.8839128739951</v>
      </c>
      <c r="E54" s="2">
        <f t="shared" si="12"/>
        <v>0.21690747358109067</v>
      </c>
      <c r="F54" s="2">
        <f t="shared" si="13"/>
        <v>-50.093799022399033</v>
      </c>
      <c r="G54" s="4">
        <v>-1497</v>
      </c>
      <c r="H54" s="4">
        <v>1809</v>
      </c>
      <c r="I54" s="2">
        <f t="shared" si="14"/>
        <v>2348.0821961762754</v>
      </c>
      <c r="J54" s="2">
        <f t="shared" si="15"/>
        <v>-50.416815605756405</v>
      </c>
      <c r="K54" s="2">
        <f t="shared" si="16"/>
        <v>509.31657693333477</v>
      </c>
      <c r="L54" s="2">
        <f t="shared" si="17"/>
        <v>0.32301658335737216</v>
      </c>
      <c r="M54" s="2">
        <f t="shared" si="18"/>
        <v>509.3084911780918</v>
      </c>
      <c r="N54" s="2">
        <f t="shared" si="19"/>
        <v>2.8699046996518089</v>
      </c>
      <c r="O54" s="2">
        <f t="shared" si="9"/>
        <v>567.06906728208651</v>
      </c>
      <c r="P54" s="2">
        <f t="shared" si="10"/>
        <v>3.557794528547003</v>
      </c>
    </row>
    <row r="55" spans="1:16" x14ac:dyDescent="0.3">
      <c r="A55" s="4">
        <v>53</v>
      </c>
      <c r="B55" s="4">
        <v>-2500</v>
      </c>
      <c r="C55" s="4">
        <v>2914</v>
      </c>
      <c r="D55" s="6">
        <f t="shared" si="11"/>
        <v>3839.4525651451927</v>
      </c>
      <c r="E55" s="2">
        <f t="shared" si="12"/>
        <v>0.21704483105179867</v>
      </c>
      <c r="F55" s="2">
        <f t="shared" si="13"/>
        <v>-49.397850100891119</v>
      </c>
      <c r="G55" s="4">
        <v>-1515</v>
      </c>
      <c r="H55" s="4">
        <v>1786</v>
      </c>
      <c r="I55" s="2">
        <f t="shared" si="14"/>
        <v>2342.0121690546357</v>
      </c>
      <c r="J55" s="2">
        <f t="shared" si="15"/>
        <v>-49.718453633178321</v>
      </c>
      <c r="K55" s="2">
        <f t="shared" si="16"/>
        <v>508.32163555371994</v>
      </c>
      <c r="L55" s="2">
        <f t="shared" si="17"/>
        <v>0.32060353228720118</v>
      </c>
      <c r="M55" s="2">
        <f t="shared" si="18"/>
        <v>508.31368571425207</v>
      </c>
      <c r="N55" s="2">
        <f t="shared" si="19"/>
        <v>2.8429012648011085</v>
      </c>
      <c r="O55" s="2">
        <f t="shared" si="9"/>
        <v>565.8361327761304</v>
      </c>
      <c r="P55" s="2">
        <f t="shared" si="10"/>
        <v>3.5227577071042875</v>
      </c>
    </row>
    <row r="56" spans="1:16" x14ac:dyDescent="0.3">
      <c r="A56" s="4">
        <v>54</v>
      </c>
      <c r="B56" s="4">
        <v>-2546</v>
      </c>
      <c r="C56" s="4">
        <v>2879</v>
      </c>
      <c r="D56" s="6">
        <f t="shared" si="11"/>
        <v>3843.2742551111287</v>
      </c>
      <c r="E56" s="2">
        <f t="shared" si="12"/>
        <v>0.2168290051705502</v>
      </c>
      <c r="F56" s="2">
        <f t="shared" si="13"/>
        <v>-48.537156678835579</v>
      </c>
      <c r="G56" s="4">
        <v>-1544</v>
      </c>
      <c r="H56" s="4">
        <v>1767</v>
      </c>
      <c r="I56" s="2">
        <f t="shared" si="14"/>
        <v>2346.5346790533481</v>
      </c>
      <c r="J56" s="2">
        <f t="shared" si="15"/>
        <v>-48.877902440677943</v>
      </c>
      <c r="K56" s="2">
        <f t="shared" si="16"/>
        <v>508.79678005733376</v>
      </c>
      <c r="L56" s="2">
        <f t="shared" si="17"/>
        <v>0.34074576184236349</v>
      </c>
      <c r="M56" s="2">
        <f t="shared" si="18"/>
        <v>508.787791535216</v>
      </c>
      <c r="N56" s="2">
        <f t="shared" si="19"/>
        <v>3.0243315672085367</v>
      </c>
      <c r="O56" s="2">
        <f t="shared" si="9"/>
        <v>566.42338488880614</v>
      </c>
      <c r="P56" s="2">
        <f t="shared" si="10"/>
        <v>3.7483666275305141</v>
      </c>
    </row>
    <row r="57" spans="1:16" x14ac:dyDescent="0.3">
      <c r="A57" s="4">
        <v>55</v>
      </c>
      <c r="B57" s="4">
        <v>-2588</v>
      </c>
      <c r="C57" s="4">
        <v>2849</v>
      </c>
      <c r="D57" s="6">
        <f t="shared" si="11"/>
        <v>3848.9667444653246</v>
      </c>
      <c r="E57" s="2">
        <f t="shared" si="12"/>
        <v>0.21650832253399868</v>
      </c>
      <c r="F57" s="2">
        <f t="shared" si="13"/>
        <v>-47.772559165165504</v>
      </c>
      <c r="G57" s="4">
        <v>-1570</v>
      </c>
      <c r="H57" s="4">
        <v>1746</v>
      </c>
      <c r="I57" s="2">
        <f t="shared" si="14"/>
        <v>2348.0664385830314</v>
      </c>
      <c r="J57" s="2">
        <f t="shared" si="15"/>
        <v>-48.062545406388438</v>
      </c>
      <c r="K57" s="2">
        <f t="shared" si="16"/>
        <v>508.37592581599256</v>
      </c>
      <c r="L57" s="2">
        <f t="shared" si="17"/>
        <v>0.28998624122293393</v>
      </c>
      <c r="M57" s="2">
        <f t="shared" si="18"/>
        <v>508.36942117808326</v>
      </c>
      <c r="N57" s="2">
        <f t="shared" si="19"/>
        <v>2.5716843368009621</v>
      </c>
      <c r="O57" s="2">
        <f t="shared" si="9"/>
        <v>565.90560286333039</v>
      </c>
      <c r="P57" s="2">
        <f t="shared" si="10"/>
        <v>3.1867608005177064</v>
      </c>
    </row>
    <row r="58" spans="1:16" x14ac:dyDescent="0.3">
      <c r="A58" s="4">
        <v>56</v>
      </c>
      <c r="B58" s="4">
        <v>-2627</v>
      </c>
      <c r="C58" s="4">
        <v>2811</v>
      </c>
      <c r="D58" s="6">
        <f t="shared" si="11"/>
        <v>3847.4472056156924</v>
      </c>
      <c r="E58" s="2">
        <f t="shared" si="12"/>
        <v>0.21659383190937853</v>
      </c>
      <c r="F58" s="2">
        <f t="shared" si="13"/>
        <v>-46.961726488252843</v>
      </c>
      <c r="G58" s="4">
        <v>-1596</v>
      </c>
      <c r="H58" s="4">
        <v>1723</v>
      </c>
      <c r="I58" s="2">
        <f t="shared" si="14"/>
        <v>2348.604905044695</v>
      </c>
      <c r="J58" s="2">
        <f t="shared" si="15"/>
        <v>-47.215263552633886</v>
      </c>
      <c r="K58" s="2">
        <f t="shared" si="16"/>
        <v>508.69333602479259</v>
      </c>
      <c r="L58" s="2">
        <f t="shared" si="17"/>
        <v>0.2535370643810424</v>
      </c>
      <c r="M58" s="2">
        <f t="shared" si="18"/>
        <v>508.68836068730013</v>
      </c>
      <c r="N58" s="2">
        <f t="shared" si="19"/>
        <v>2.2498482837201856</v>
      </c>
      <c r="O58" s="2">
        <f t="shared" si="9"/>
        <v>566.30127996840383</v>
      </c>
      <c r="P58" s="2">
        <f t="shared" si="10"/>
        <v>2.7883465649074433</v>
      </c>
    </row>
    <row r="59" spans="1:16" x14ac:dyDescent="0.3">
      <c r="A59" s="4">
        <v>57</v>
      </c>
      <c r="B59" s="4">
        <v>-2673</v>
      </c>
      <c r="C59" s="4">
        <v>2791</v>
      </c>
      <c r="D59" s="6">
        <f t="shared" si="11"/>
        <v>3864.5323132301532</v>
      </c>
      <c r="E59" s="2">
        <f t="shared" si="12"/>
        <v>0.21563627000359978</v>
      </c>
      <c r="F59" s="2">
        <f t="shared" si="13"/>
        <v>-46.260613803220508</v>
      </c>
      <c r="G59" s="4">
        <v>-1623</v>
      </c>
      <c r="H59" s="4">
        <v>1705</v>
      </c>
      <c r="I59" s="2">
        <f t="shared" si="14"/>
        <v>2353.9655902327886</v>
      </c>
      <c r="J59" s="2">
        <f t="shared" si="15"/>
        <v>-46.434989928287067</v>
      </c>
      <c r="K59" s="2">
        <f t="shared" si="16"/>
        <v>507.60035959462073</v>
      </c>
      <c r="L59" s="2">
        <f t="shared" si="17"/>
        <v>0.17437612506655853</v>
      </c>
      <c r="M59" s="2">
        <f t="shared" si="18"/>
        <v>507.59801115217169</v>
      </c>
      <c r="N59" s="2">
        <f t="shared" si="19"/>
        <v>1.5440644248494173</v>
      </c>
      <c r="O59" s="2">
        <f t="shared" si="9"/>
        <v>564.95102368854441</v>
      </c>
      <c r="P59" s="2">
        <f t="shared" si="10"/>
        <v>1.9127057024366139</v>
      </c>
    </row>
    <row r="60" spans="1:16" x14ac:dyDescent="0.3">
      <c r="A60" s="4">
        <v>58</v>
      </c>
      <c r="B60" s="4">
        <v>-2709</v>
      </c>
      <c r="C60" s="4">
        <v>2744</v>
      </c>
      <c r="D60" s="6">
        <f t="shared" si="11"/>
        <v>3855.9327016948832</v>
      </c>
      <c r="E60" s="2">
        <f t="shared" si="12"/>
        <v>0.21611718818822745</v>
      </c>
      <c r="F60" s="2">
        <f t="shared" si="13"/>
        <v>-45.390758245018468</v>
      </c>
      <c r="G60" s="4">
        <v>-1644</v>
      </c>
      <c r="H60" s="4">
        <v>1687</v>
      </c>
      <c r="I60" s="2">
        <f t="shared" si="14"/>
        <v>2355.5689334001668</v>
      </c>
      <c r="J60" s="2">
        <f t="shared" si="15"/>
        <v>-45.762792003445739</v>
      </c>
      <c r="K60" s="2">
        <f t="shared" si="16"/>
        <v>509.07893446998605</v>
      </c>
      <c r="L60" s="2">
        <f t="shared" si="17"/>
        <v>0.37203375842727127</v>
      </c>
      <c r="M60" s="2">
        <f t="shared" si="18"/>
        <v>509.06821353674525</v>
      </c>
      <c r="N60" s="2">
        <f t="shared" si="19"/>
        <v>3.3038595011088989</v>
      </c>
      <c r="O60" s="2">
        <f t="shared" si="9"/>
        <v>566.77047399736784</v>
      </c>
      <c r="P60" s="2">
        <f t="shared" si="10"/>
        <v>4.0953255127245685</v>
      </c>
    </row>
    <row r="61" spans="1:16" x14ac:dyDescent="0.3">
      <c r="A61" s="4">
        <v>59</v>
      </c>
      <c r="B61" s="4">
        <v>-2744</v>
      </c>
      <c r="C61" s="4">
        <v>2708</v>
      </c>
      <c r="D61" s="6">
        <f t="shared" si="11"/>
        <v>3855.2302136188964</v>
      </c>
      <c r="E61" s="2">
        <f t="shared" si="12"/>
        <v>0.21615656839104433</v>
      </c>
      <c r="F61" s="2">
        <f t="shared" si="13"/>
        <v>-44.644309562477787</v>
      </c>
      <c r="G61" s="4">
        <v>-1665</v>
      </c>
      <c r="H61" s="4">
        <v>1661</v>
      </c>
      <c r="I61" s="2">
        <f t="shared" si="14"/>
        <v>2351.8388550238724</v>
      </c>
      <c r="J61" s="2">
        <f t="shared" si="15"/>
        <v>-44.953883206421288</v>
      </c>
      <c r="K61" s="2">
        <f t="shared" si="16"/>
        <v>508.36541631068309</v>
      </c>
      <c r="L61" s="2">
        <f t="shared" si="17"/>
        <v>0.30957364394350151</v>
      </c>
      <c r="M61" s="2">
        <f t="shared" si="18"/>
        <v>508.35800342690027</v>
      </c>
      <c r="N61" s="2">
        <f t="shared" si="19"/>
        <v>2.7453328668441905</v>
      </c>
      <c r="O61" s="2">
        <f t="shared" si="9"/>
        <v>565.89119962374389</v>
      </c>
      <c r="P61" s="2">
        <f t="shared" si="10"/>
        <v>3.4019238521823323</v>
      </c>
    </row>
    <row r="62" spans="1:16" x14ac:dyDescent="0.3">
      <c r="A62" s="4">
        <v>60</v>
      </c>
      <c r="B62" s="4">
        <v>-2785</v>
      </c>
      <c r="C62" s="4">
        <v>2674</v>
      </c>
      <c r="D62" s="6">
        <f t="shared" si="11"/>
        <v>3860.8938084334823</v>
      </c>
      <c r="E62" s="2">
        <f t="shared" si="12"/>
        <v>0.21583948553908811</v>
      </c>
      <c r="F62" s="2">
        <f t="shared" si="13"/>
        <v>-43.857376656749302</v>
      </c>
      <c r="G62" s="4">
        <v>-1688</v>
      </c>
      <c r="H62" s="4">
        <v>1642</v>
      </c>
      <c r="I62" s="2">
        <f t="shared" si="14"/>
        <v>2354.8902309874234</v>
      </c>
      <c r="J62" s="2">
        <f t="shared" si="15"/>
        <v>-44.231000339257747</v>
      </c>
      <c r="K62" s="2">
        <f t="shared" si="16"/>
        <v>508.27829595734983</v>
      </c>
      <c r="L62" s="2">
        <f t="shared" si="17"/>
        <v>0.37362368250844469</v>
      </c>
      <c r="M62" s="2">
        <f t="shared" si="18"/>
        <v>508.26750020008052</v>
      </c>
      <c r="N62" s="2">
        <f t="shared" si="19"/>
        <v>3.3127604302757758</v>
      </c>
      <c r="O62" s="2">
        <f t="shared" si="9"/>
        <v>565.77810512546694</v>
      </c>
      <c r="P62" s="2">
        <f t="shared" si="10"/>
        <v>4.1048948197997639</v>
      </c>
    </row>
    <row r="63" spans="1:16" x14ac:dyDescent="0.3">
      <c r="A63" s="4">
        <v>61</v>
      </c>
      <c r="B63" s="4">
        <v>-2823</v>
      </c>
      <c r="C63" s="4">
        <v>2640</v>
      </c>
      <c r="D63" s="6">
        <f t="shared" si="11"/>
        <v>3865.091072665688</v>
      </c>
      <c r="E63" s="2">
        <f t="shared" si="12"/>
        <v>0.21560509640426079</v>
      </c>
      <c r="F63" s="2">
        <f t="shared" si="13"/>
        <v>-43.103270443414729</v>
      </c>
      <c r="G63" s="4">
        <v>-1712</v>
      </c>
      <c r="H63" s="4">
        <v>1618</v>
      </c>
      <c r="I63" s="2">
        <f t="shared" si="14"/>
        <v>2355.6035320061819</v>
      </c>
      <c r="J63" s="2">
        <f t="shared" si="15"/>
        <v>-43.405075565730137</v>
      </c>
      <c r="K63" s="2">
        <f t="shared" si="16"/>
        <v>507.88012660841008</v>
      </c>
      <c r="L63" s="2">
        <f t="shared" si="17"/>
        <v>0.30180512231540746</v>
      </c>
      <c r="M63" s="2">
        <f t="shared" si="18"/>
        <v>507.87308782309634</v>
      </c>
      <c r="N63" s="2">
        <f t="shared" si="19"/>
        <v>2.673886461338677</v>
      </c>
      <c r="O63" s="2">
        <f t="shared" si="9"/>
        <v>565.29048066655014</v>
      </c>
      <c r="P63" s="2">
        <f t="shared" si="10"/>
        <v>3.3126746328856358</v>
      </c>
    </row>
    <row r="64" spans="1:16" x14ac:dyDescent="0.3">
      <c r="A64" s="4">
        <v>62</v>
      </c>
      <c r="B64" s="4">
        <v>-2859</v>
      </c>
      <c r="C64" s="4">
        <v>2602</v>
      </c>
      <c r="D64" s="6">
        <f t="shared" si="11"/>
        <v>3865.7838791117124</v>
      </c>
      <c r="E64" s="2">
        <f t="shared" si="12"/>
        <v>0.21556645673757074</v>
      </c>
      <c r="F64" s="2">
        <f t="shared" si="13"/>
        <v>-42.327050560607098</v>
      </c>
      <c r="G64" s="4">
        <v>-1737</v>
      </c>
      <c r="H64" s="4">
        <v>1602</v>
      </c>
      <c r="I64" s="2">
        <f t="shared" si="14"/>
        <v>2362.9585269318632</v>
      </c>
      <c r="J64" s="2">
        <f t="shared" si="15"/>
        <v>-42.706370395882878</v>
      </c>
      <c r="K64" s="2">
        <f t="shared" si="16"/>
        <v>509.37459706853139</v>
      </c>
      <c r="L64" s="2">
        <f t="shared" si="17"/>
        <v>0.37931983527577984</v>
      </c>
      <c r="M64" s="2">
        <f t="shared" si="18"/>
        <v>509.36344562486602</v>
      </c>
      <c r="N64" s="2">
        <f t="shared" si="19"/>
        <v>3.3705192319337729</v>
      </c>
      <c r="O64" s="2">
        <f t="shared" si="9"/>
        <v>567.13633213469257</v>
      </c>
      <c r="P64" s="2">
        <f t="shared" si="10"/>
        <v>4.1785033919023604</v>
      </c>
    </row>
    <row r="65" spans="1:16" x14ac:dyDescent="0.3">
      <c r="A65" s="4">
        <v>63</v>
      </c>
      <c r="B65" s="4">
        <v>-2895</v>
      </c>
      <c r="C65" s="4">
        <v>2562</v>
      </c>
      <c r="D65" s="6">
        <f t="shared" si="11"/>
        <v>3865.8594128602244</v>
      </c>
      <c r="E65" s="2">
        <f t="shared" si="12"/>
        <v>0.21556224485586686</v>
      </c>
      <c r="F65" s="2">
        <f t="shared" si="13"/>
        <v>-41.529049623789469</v>
      </c>
      <c r="G65" s="4">
        <v>-1757</v>
      </c>
      <c r="H65" s="4">
        <v>1572</v>
      </c>
      <c r="I65" s="2">
        <f t="shared" si="14"/>
        <v>2357.590507276444</v>
      </c>
      <c r="J65" s="2">
        <f t="shared" si="15"/>
        <v>-41.840427964263718</v>
      </c>
      <c r="K65" s="2">
        <f t="shared" si="16"/>
        <v>508.2075021993922</v>
      </c>
      <c r="L65" s="2">
        <f t="shared" si="17"/>
        <v>0.31137834047424917</v>
      </c>
      <c r="M65" s="2">
        <f t="shared" si="18"/>
        <v>508.20000496491485</v>
      </c>
      <c r="N65" s="2">
        <f t="shared" si="19"/>
        <v>2.7604791985797865</v>
      </c>
      <c r="O65" s="2">
        <f t="shared" si="9"/>
        <v>565.69539728985092</v>
      </c>
      <c r="P65" s="2">
        <f t="shared" si="10"/>
        <v>3.4204520207560769</v>
      </c>
    </row>
    <row r="66" spans="1:16" x14ac:dyDescent="0.3">
      <c r="A66" s="4">
        <v>64</v>
      </c>
      <c r="B66" s="4">
        <v>-2930</v>
      </c>
      <c r="C66" s="4">
        <v>2523</v>
      </c>
      <c r="D66" s="6">
        <f t="shared" si="11"/>
        <v>3866.5784616376272</v>
      </c>
      <c r="E66" s="2">
        <f t="shared" si="12"/>
        <v>0.21552215779435868</v>
      </c>
      <c r="F66" s="2">
        <f t="shared" si="13"/>
        <v>-40.752142478163449</v>
      </c>
      <c r="G66" s="4">
        <v>-1779</v>
      </c>
      <c r="H66" s="4">
        <v>1549</v>
      </c>
      <c r="I66" s="2">
        <f t="shared" si="14"/>
        <v>2358.8645573665308</v>
      </c>
      <c r="J66" s="2">
        <f t="shared" si="15"/>
        <v>-41.067361291312636</v>
      </c>
      <c r="K66" s="2">
        <f t="shared" si="16"/>
        <v>508.38757934826947</v>
      </c>
      <c r="L66" s="2">
        <f t="shared" si="17"/>
        <v>0.31521881314918687</v>
      </c>
      <c r="M66" s="2">
        <f t="shared" si="18"/>
        <v>508.37989331276037</v>
      </c>
      <c r="N66" s="2">
        <f t="shared" si="19"/>
        <v>2.7955162133920477</v>
      </c>
      <c r="O66" s="2">
        <f t="shared" si="9"/>
        <v>565.91824823101797</v>
      </c>
      <c r="P66" s="2">
        <f t="shared" si="10"/>
        <v>3.4641430788367256</v>
      </c>
    </row>
    <row r="67" spans="1:16" x14ac:dyDescent="0.3">
      <c r="A67" s="4">
        <v>65</v>
      </c>
      <c r="B67" s="4">
        <v>-2968</v>
      </c>
      <c r="C67" s="4">
        <v>2487</v>
      </c>
      <c r="D67" s="6">
        <f t="shared" si="11"/>
        <v>3872.2335931604125</v>
      </c>
      <c r="E67" s="2">
        <f t="shared" si="12"/>
        <v>0.21520740246798728</v>
      </c>
      <c r="F67" s="2">
        <f t="shared" si="13"/>
        <v>-39.981189598789655</v>
      </c>
      <c r="G67" s="4">
        <v>-1803</v>
      </c>
      <c r="H67" s="4">
        <v>1526</v>
      </c>
      <c r="I67" s="2">
        <f t="shared" si="14"/>
        <v>2362.0933512458814</v>
      </c>
      <c r="J67" s="2">
        <f t="shared" si="15"/>
        <v>-40.263892298387901</v>
      </c>
      <c r="K67" s="2">
        <f t="shared" si="16"/>
        <v>508.33997450852922</v>
      </c>
      <c r="L67" s="2">
        <f t="shared" si="17"/>
        <v>0.28270269959824645</v>
      </c>
      <c r="M67" s="2">
        <f t="shared" si="18"/>
        <v>508.33379295571291</v>
      </c>
      <c r="N67" s="2">
        <f t="shared" si="19"/>
        <v>2.5069149547873102</v>
      </c>
      <c r="O67" s="2">
        <f t="shared" si="9"/>
        <v>565.86154447177978</v>
      </c>
      <c r="P67" s="2">
        <f t="shared" si="10"/>
        <v>3.1064511250255342</v>
      </c>
    </row>
    <row r="68" spans="1:16" x14ac:dyDescent="0.3">
      <c r="A68" s="4">
        <v>66</v>
      </c>
      <c r="B68" s="4">
        <v>-3003</v>
      </c>
      <c r="C68" s="4">
        <v>2447</v>
      </c>
      <c r="D68" s="6">
        <f t="shared" si="11"/>
        <v>3873.7343739600938</v>
      </c>
      <c r="E68" s="2">
        <f t="shared" si="12"/>
        <v>0.21512402578120554</v>
      </c>
      <c r="F68" s="2">
        <f t="shared" si="13"/>
        <v>-39.194802106462234</v>
      </c>
      <c r="G68" s="4">
        <v>-1824</v>
      </c>
      <c r="H68" s="4">
        <v>1506</v>
      </c>
      <c r="I68" s="2">
        <f t="shared" si="14"/>
        <v>2365.3777710970398</v>
      </c>
      <c r="J68" s="2">
        <f t="shared" si="15"/>
        <v>-39.565110766810356</v>
      </c>
      <c r="K68" s="2">
        <f t="shared" si="16"/>
        <v>508.84958861177012</v>
      </c>
      <c r="L68" s="2">
        <f t="shared" si="17"/>
        <v>0.37030866034812249</v>
      </c>
      <c r="M68" s="2">
        <f t="shared" si="18"/>
        <v>508.83897165752643</v>
      </c>
      <c r="N68" s="2">
        <f t="shared" si="19"/>
        <v>3.2870583929513386</v>
      </c>
      <c r="O68" s="2">
        <f t="shared" si="9"/>
        <v>566.48636076087041</v>
      </c>
      <c r="P68" s="2">
        <f t="shared" si="10"/>
        <v>4.0740836491763641</v>
      </c>
    </row>
    <row r="69" spans="1:16" x14ac:dyDescent="0.3">
      <c r="A69" s="4">
        <v>67</v>
      </c>
      <c r="B69" s="4">
        <v>-3042</v>
      </c>
      <c r="C69" s="4">
        <v>2412</v>
      </c>
      <c r="D69" s="6">
        <f t="shared" si="11"/>
        <v>3882.2040131863241</v>
      </c>
      <c r="E69" s="2">
        <f t="shared" si="12"/>
        <v>0.21465469885220534</v>
      </c>
      <c r="F69" s="2">
        <f t="shared" si="13"/>
        <v>-38.430360675891357</v>
      </c>
      <c r="G69" s="4">
        <v>-1843</v>
      </c>
      <c r="H69" s="4">
        <v>1481</v>
      </c>
      <c r="I69" s="2">
        <f t="shared" si="14"/>
        <v>2364.3201982811042</v>
      </c>
      <c r="J69" s="2">
        <f t="shared" si="15"/>
        <v>-38.804373589661964</v>
      </c>
      <c r="K69" s="2">
        <f t="shared" si="16"/>
        <v>507.51244015221687</v>
      </c>
      <c r="L69" s="2">
        <f t="shared" si="17"/>
        <v>0.3740129137706063</v>
      </c>
      <c r="M69" s="2">
        <f t="shared" si="18"/>
        <v>507.5016381904187</v>
      </c>
      <c r="N69" s="2">
        <f t="shared" si="19"/>
        <v>3.3112147769154965</v>
      </c>
      <c r="O69" s="2">
        <f t="shared" si="9"/>
        <v>564.82927880581337</v>
      </c>
      <c r="P69" s="2">
        <f t="shared" si="10"/>
        <v>4.1015807808935225</v>
      </c>
    </row>
    <row r="70" spans="1:16" x14ac:dyDescent="0.3">
      <c r="A70" s="4">
        <v>68</v>
      </c>
      <c r="B70" s="4">
        <v>-3074</v>
      </c>
      <c r="C70" s="4">
        <v>2367</v>
      </c>
      <c r="D70" s="6">
        <f t="shared" si="11"/>
        <v>3879.7119738454812</v>
      </c>
      <c r="E70" s="2">
        <f t="shared" si="12"/>
        <v>0.21479257711684008</v>
      </c>
      <c r="F70" s="2">
        <f t="shared" si="13"/>
        <v>-37.615574663685237</v>
      </c>
      <c r="G70" s="4">
        <v>-1864</v>
      </c>
      <c r="H70" s="4">
        <v>1459</v>
      </c>
      <c r="I70" s="2">
        <f t="shared" si="14"/>
        <v>2367.1030818280815</v>
      </c>
      <c r="J70" s="2">
        <f t="shared" si="15"/>
        <v>-38.070486466664448</v>
      </c>
      <c r="K70" s="2">
        <f t="shared" si="16"/>
        <v>508.43617124706799</v>
      </c>
      <c r="L70" s="2">
        <f t="shared" si="17"/>
        <v>0.45491180297921119</v>
      </c>
      <c r="M70" s="2">
        <f t="shared" si="18"/>
        <v>508.42016192797962</v>
      </c>
      <c r="N70" s="2">
        <f t="shared" si="19"/>
        <v>4.0347462751482341</v>
      </c>
      <c r="O70" s="2">
        <f t="shared" si="9"/>
        <v>565.96581339496424</v>
      </c>
      <c r="P70" s="2">
        <f t="shared" si="10"/>
        <v>4.9998576542808078</v>
      </c>
    </row>
    <row r="71" spans="1:16" x14ac:dyDescent="0.3">
      <c r="A71" s="4">
        <v>69</v>
      </c>
      <c r="B71" s="4">
        <v>-3108</v>
      </c>
      <c r="C71" s="4">
        <v>2326</v>
      </c>
      <c r="D71" s="6">
        <f t="shared" si="11"/>
        <v>3882.0020607928586</v>
      </c>
      <c r="E71" s="2">
        <f t="shared" si="12"/>
        <v>0.21466586577832308</v>
      </c>
      <c r="F71" s="2">
        <f t="shared" si="13"/>
        <v>-36.829531287241736</v>
      </c>
      <c r="G71" s="4">
        <v>-1889</v>
      </c>
      <c r="H71" s="4">
        <v>1441</v>
      </c>
      <c r="I71" s="2">
        <f t="shared" si="14"/>
        <v>2375.879205683656</v>
      </c>
      <c r="J71" s="2">
        <f t="shared" si="15"/>
        <v>-37.356683951514377</v>
      </c>
      <c r="K71" s="2">
        <f t="shared" si="16"/>
        <v>510.02016667279656</v>
      </c>
      <c r="L71" s="2">
        <f t="shared" si="17"/>
        <v>0.5271526642726414</v>
      </c>
      <c r="M71" s="2">
        <f t="shared" si="18"/>
        <v>509.99860207362036</v>
      </c>
      <c r="N71" s="2">
        <f t="shared" si="19"/>
        <v>4.6900208848431877</v>
      </c>
      <c r="O71" s="2">
        <f t="shared" si="9"/>
        <v>567.92092193448934</v>
      </c>
      <c r="P71" s="2">
        <f t="shared" si="10"/>
        <v>5.8159593048430205</v>
      </c>
    </row>
    <row r="72" spans="1:16" x14ac:dyDescent="0.3">
      <c r="A72" s="4">
        <v>70</v>
      </c>
      <c r="B72" s="4">
        <v>-3141</v>
      </c>
      <c r="C72" s="4">
        <v>2288</v>
      </c>
      <c r="D72" s="6">
        <f t="shared" si="11"/>
        <v>3885.9779978790411</v>
      </c>
      <c r="E72" s="2">
        <f t="shared" si="12"/>
        <v>0.21444623046969516</v>
      </c>
      <c r="F72" s="2">
        <f t="shared" si="13"/>
        <v>-36.089029703022646</v>
      </c>
      <c r="G72" s="4">
        <v>-1904</v>
      </c>
      <c r="H72" s="4">
        <v>1411</v>
      </c>
      <c r="I72" s="2">
        <f t="shared" si="14"/>
        <v>2369.8390240689346</v>
      </c>
      <c r="J72" s="2">
        <f t="shared" si="15"/>
        <v>-36.559621770001677</v>
      </c>
      <c r="K72" s="2">
        <f t="shared" si="16"/>
        <v>508.20304553156421</v>
      </c>
      <c r="L72" s="2">
        <f t="shared" si="17"/>
        <v>0.47059206697903022</v>
      </c>
      <c r="M72" s="2">
        <f t="shared" si="18"/>
        <v>508.18592140937119</v>
      </c>
      <c r="N72" s="2">
        <f t="shared" si="19"/>
        <v>4.1719023077657384</v>
      </c>
      <c r="O72" s="2">
        <f t="shared" ref="O72:O102" si="20">-$B$2-$B$2*$B$2*(M72-$B$2)/(M72*M72-2*M72*$B$2+$B$2*$B$2+N72*N72)</f>
        <v>565.67524765068447</v>
      </c>
      <c r="P72" s="2">
        <f t="shared" ref="P72:P102" si="21">$B$2*$B$2*N72/(M72*M72-2*M72*$B$2+$B$2*$B$2+N72*N72)</f>
        <v>5.1692819434846191</v>
      </c>
    </row>
    <row r="73" spans="1:16" x14ac:dyDescent="0.3">
      <c r="A73" s="4">
        <v>71</v>
      </c>
      <c r="B73" s="4">
        <v>-3179</v>
      </c>
      <c r="C73" s="4">
        <v>2244</v>
      </c>
      <c r="D73" s="6">
        <f t="shared" si="11"/>
        <v>3891.2179327300596</v>
      </c>
      <c r="E73" s="2">
        <f t="shared" si="12"/>
        <v>0.21415745603039785</v>
      </c>
      <c r="F73" s="2">
        <f t="shared" si="13"/>
        <v>-35.235455842671911</v>
      </c>
      <c r="G73" s="4">
        <v>-1927</v>
      </c>
      <c r="H73" s="4">
        <v>1382</v>
      </c>
      <c r="I73" s="2">
        <f t="shared" si="14"/>
        <v>2371.3399165872447</v>
      </c>
      <c r="J73" s="2">
        <f t="shared" si="15"/>
        <v>-35.665299864335303</v>
      </c>
      <c r="K73" s="2">
        <f t="shared" si="16"/>
        <v>507.84012391966019</v>
      </c>
      <c r="L73" s="2">
        <f t="shared" si="17"/>
        <v>0.42984402166339208</v>
      </c>
      <c r="M73" s="2">
        <f t="shared" si="18"/>
        <v>507.82584711398738</v>
      </c>
      <c r="N73" s="2">
        <f t="shared" si="19"/>
        <v>3.8079477014404119</v>
      </c>
      <c r="O73" s="2">
        <f t="shared" si="20"/>
        <v>565.2299276318181</v>
      </c>
      <c r="P73" s="2">
        <f t="shared" si="21"/>
        <v>4.7175607600382161</v>
      </c>
    </row>
    <row r="74" spans="1:16" x14ac:dyDescent="0.3">
      <c r="A74" s="4">
        <v>72</v>
      </c>
      <c r="B74" s="4">
        <v>-3209</v>
      </c>
      <c r="C74" s="4">
        <v>2204</v>
      </c>
      <c r="D74" s="6">
        <f t="shared" si="11"/>
        <v>3892.9804777316826</v>
      </c>
      <c r="E74" s="2">
        <f t="shared" si="12"/>
        <v>0.21406049634723329</v>
      </c>
      <c r="F74" s="2">
        <f t="shared" si="13"/>
        <v>-34.499482722071221</v>
      </c>
      <c r="G74" s="4">
        <v>-1949</v>
      </c>
      <c r="H74" s="4">
        <v>1360</v>
      </c>
      <c r="I74" s="2">
        <f t="shared" si="14"/>
        <v>2376.5944121789062</v>
      </c>
      <c r="J74" s="2">
        <f t="shared" si="15"/>
        <v>-34.924799119521388</v>
      </c>
      <c r="K74" s="2">
        <f t="shared" si="16"/>
        <v>508.73497948707779</v>
      </c>
      <c r="L74" s="2">
        <f t="shared" si="17"/>
        <v>0.42531639745016747</v>
      </c>
      <c r="M74" s="2">
        <f t="shared" si="18"/>
        <v>508.72097722664233</v>
      </c>
      <c r="N74" s="2">
        <f t="shared" si="19"/>
        <v>3.7744778827714729</v>
      </c>
      <c r="O74" s="2">
        <f t="shared" si="20"/>
        <v>566.33916894916092</v>
      </c>
      <c r="P74" s="2">
        <f t="shared" si="21"/>
        <v>4.6779601032735423</v>
      </c>
    </row>
    <row r="75" spans="1:16" x14ac:dyDescent="0.3">
      <c r="A75" s="4">
        <v>73</v>
      </c>
      <c r="B75" s="4">
        <v>-3242</v>
      </c>
      <c r="C75" s="4">
        <v>2161</v>
      </c>
      <c r="D75" s="6">
        <f t="shared" si="11"/>
        <v>3896.2141881575249</v>
      </c>
      <c r="E75" s="2">
        <f t="shared" si="12"/>
        <v>0.21388283423078627</v>
      </c>
      <c r="F75" s="2">
        <f t="shared" si="13"/>
        <v>-33.703074976668368</v>
      </c>
      <c r="G75" s="4">
        <v>-1966</v>
      </c>
      <c r="H75" s="4">
        <v>1334</v>
      </c>
      <c r="I75" s="2">
        <f t="shared" si="14"/>
        <v>2375.8602652513046</v>
      </c>
      <c r="J75" s="2">
        <f t="shared" si="15"/>
        <v>-34.175594741220372</v>
      </c>
      <c r="K75" s="2">
        <f t="shared" si="16"/>
        <v>508.15572726825667</v>
      </c>
      <c r="L75" s="2">
        <f t="shared" si="17"/>
        <v>0.47251976455200406</v>
      </c>
      <c r="M75" s="2">
        <f t="shared" si="18"/>
        <v>508.13846417511257</v>
      </c>
      <c r="N75" s="2">
        <f t="shared" si="19"/>
        <v>4.1886013523284058</v>
      </c>
      <c r="O75" s="2">
        <f t="shared" si="20"/>
        <v>565.61640699362215</v>
      </c>
      <c r="P75" s="2">
        <f t="shared" si="21"/>
        <v>5.1898635394141994</v>
      </c>
    </row>
    <row r="76" spans="1:16" x14ac:dyDescent="0.3">
      <c r="A76" s="4">
        <v>74</v>
      </c>
      <c r="B76" s="4">
        <v>-3272</v>
      </c>
      <c r="C76" s="4">
        <v>2115</v>
      </c>
      <c r="D76" s="6">
        <f t="shared" si="11"/>
        <v>3896.0504360185073</v>
      </c>
      <c r="E76" s="2">
        <f t="shared" si="12"/>
        <v>0.21389182378884758</v>
      </c>
      <c r="F76" s="2">
        <f t="shared" si="13"/>
        <v>-32.895046822079642</v>
      </c>
      <c r="G76" s="4">
        <v>-1984</v>
      </c>
      <c r="H76" s="4">
        <v>1310</v>
      </c>
      <c r="I76" s="2">
        <f t="shared" si="14"/>
        <v>2377.4684014724571</v>
      </c>
      <c r="J76" s="2">
        <f t="shared" si="15"/>
        <v>-33.453034096175422</v>
      </c>
      <c r="K76" s="2">
        <f t="shared" si="16"/>
        <v>508.52105239129992</v>
      </c>
      <c r="L76" s="2">
        <f t="shared" si="17"/>
        <v>0.55798727409577964</v>
      </c>
      <c r="M76" s="2">
        <f t="shared" si="18"/>
        <v>508.49696230328379</v>
      </c>
      <c r="N76" s="2">
        <f t="shared" si="19"/>
        <v>4.9497528714001726</v>
      </c>
      <c r="O76" s="2">
        <f t="shared" si="20"/>
        <v>566.05871769099394</v>
      </c>
      <c r="P76" s="2">
        <f t="shared" si="21"/>
        <v>6.1339411081420909</v>
      </c>
    </row>
    <row r="77" spans="1:16" x14ac:dyDescent="0.3">
      <c r="A77" s="4">
        <v>75</v>
      </c>
      <c r="B77" s="4">
        <v>-3301</v>
      </c>
      <c r="C77" s="4">
        <v>2076</v>
      </c>
      <c r="D77" s="6">
        <f t="shared" si="11"/>
        <v>3899.5354851571747</v>
      </c>
      <c r="E77" s="2">
        <f t="shared" si="12"/>
        <v>0.21370066678589156</v>
      </c>
      <c r="F77" s="2">
        <f t="shared" si="13"/>
        <v>-32.182115965099946</v>
      </c>
      <c r="G77" s="4">
        <v>-2011</v>
      </c>
      <c r="H77" s="4">
        <v>1285</v>
      </c>
      <c r="I77" s="2">
        <f t="shared" si="14"/>
        <v>2386.4924051838088</v>
      </c>
      <c r="J77" s="2">
        <f t="shared" si="15"/>
        <v>-32.594515117787402</v>
      </c>
      <c r="K77" s="2">
        <f t="shared" si="16"/>
        <v>509.99501826724605</v>
      </c>
      <c r="L77" s="2">
        <f t="shared" si="17"/>
        <v>0.41239915268745619</v>
      </c>
      <c r="M77" s="2">
        <f t="shared" si="18"/>
        <v>509.98182100399941</v>
      </c>
      <c r="N77" s="2">
        <f t="shared" si="19"/>
        <v>3.6689103087035808</v>
      </c>
      <c r="O77" s="2">
        <f t="shared" si="20"/>
        <v>567.9024696580218</v>
      </c>
      <c r="P77" s="2">
        <f t="shared" si="21"/>
        <v>4.5496775189788474</v>
      </c>
    </row>
    <row r="78" spans="1:16" x14ac:dyDescent="0.3">
      <c r="A78" s="4">
        <v>76</v>
      </c>
      <c r="B78" s="4">
        <v>-3343</v>
      </c>
      <c r="C78" s="4">
        <v>2039</v>
      </c>
      <c r="D78" s="6">
        <f t="shared" ref="D78:D102" si="22">SQRT(B78*B78+C78*C78)</f>
        <v>3915.7591856496997</v>
      </c>
      <c r="E78" s="2">
        <f t="shared" ref="E78:E102" si="23">$B$3/D78</f>
        <v>0.21281526616531893</v>
      </c>
      <c r="F78" s="2">
        <f t="shared" ref="F78:F102" si="24">180*ATAN(C78/B78)/3.14</f>
        <v>-31.396234569675826</v>
      </c>
      <c r="G78" s="4">
        <v>-2025</v>
      </c>
      <c r="H78" s="4">
        <v>1257</v>
      </c>
      <c r="I78" s="2">
        <f t="shared" ref="I78:I102" si="25">SQRT(G78*G78+H78*H78)</f>
        <v>2383.4164554269569</v>
      </c>
      <c r="J78" s="2">
        <f t="shared" ref="J78:J102" si="26">180*ATAN(H78/G78)/3.14</f>
        <v>-31.845703901343203</v>
      </c>
      <c r="K78" s="2">
        <f t="shared" ref="K78:K102" si="27">I78*E78</f>
        <v>507.22740734448882</v>
      </c>
      <c r="L78" s="2">
        <f t="shared" ref="L78:L102" si="28">F78-J78</f>
        <v>0.44946933166737679</v>
      </c>
      <c r="M78" s="2">
        <f t="shared" ref="M78:M102" si="29">K78*COS(L78*3.14/180)</f>
        <v>507.21181595195247</v>
      </c>
      <c r="N78" s="2">
        <f t="shared" ref="N78:N102" si="30">K78*SIN(L78*3.14/180)</f>
        <v>3.9769988854228759</v>
      </c>
      <c r="O78" s="2">
        <f t="shared" si="20"/>
        <v>564.46896372125502</v>
      </c>
      <c r="P78" s="2">
        <f t="shared" si="21"/>
        <v>4.9256466052112797</v>
      </c>
    </row>
    <row r="79" spans="1:16" x14ac:dyDescent="0.3">
      <c r="A79" s="4">
        <v>77</v>
      </c>
      <c r="B79" s="4">
        <v>-3364</v>
      </c>
      <c r="C79" s="4">
        <v>1987</v>
      </c>
      <c r="D79" s="6">
        <f t="shared" si="22"/>
        <v>3907.0020476063228</v>
      </c>
      <c r="E79" s="2">
        <f t="shared" si="23"/>
        <v>0.21329226941252469</v>
      </c>
      <c r="F79" s="2">
        <f t="shared" si="24"/>
        <v>-30.584401989585739</v>
      </c>
      <c r="G79" s="4">
        <v>-2042</v>
      </c>
      <c r="H79" s="4">
        <v>1228</v>
      </c>
      <c r="I79" s="2">
        <f t="shared" si="25"/>
        <v>2382.8025516185767</v>
      </c>
      <c r="J79" s="2">
        <f t="shared" si="26"/>
        <v>-31.037223962408824</v>
      </c>
      <c r="K79" s="2">
        <f t="shared" si="27"/>
        <v>508.23336379668069</v>
      </c>
      <c r="L79" s="2">
        <f t="shared" si="28"/>
        <v>0.45282197282308445</v>
      </c>
      <c r="M79" s="2">
        <f t="shared" si="29"/>
        <v>508.21750755748656</v>
      </c>
      <c r="N79" s="2">
        <f t="shared" si="30"/>
        <v>4.0146093390628739</v>
      </c>
      <c r="O79" s="2">
        <f t="shared" si="20"/>
        <v>565.71474054428654</v>
      </c>
      <c r="P79" s="2">
        <f t="shared" si="21"/>
        <v>4.9744551107591191</v>
      </c>
    </row>
    <row r="80" spans="1:16" x14ac:dyDescent="0.3">
      <c r="A80" s="4">
        <v>78</v>
      </c>
      <c r="B80" s="4">
        <v>-3394</v>
      </c>
      <c r="C80" s="4">
        <v>1942</v>
      </c>
      <c r="D80" s="6">
        <f t="shared" si="22"/>
        <v>3910.319680026174</v>
      </c>
      <c r="E80" s="2">
        <f t="shared" si="23"/>
        <v>0.2131113058581838</v>
      </c>
      <c r="F80" s="2">
        <f t="shared" si="24"/>
        <v>-29.792698365643677</v>
      </c>
      <c r="G80" s="4">
        <v>-2059</v>
      </c>
      <c r="H80" s="4">
        <v>1202</v>
      </c>
      <c r="I80" s="2">
        <f t="shared" si="25"/>
        <v>2384.1738611099654</v>
      </c>
      <c r="J80" s="2">
        <f t="shared" si="26"/>
        <v>-30.290821564776973</v>
      </c>
      <c r="K80" s="2">
        <f t="shared" si="27"/>
        <v>508.09440493409289</v>
      </c>
      <c r="L80" s="2">
        <f t="shared" si="28"/>
        <v>0.49812319913329617</v>
      </c>
      <c r="M80" s="2">
        <f t="shared" si="29"/>
        <v>508.07522268583324</v>
      </c>
      <c r="N80" s="2">
        <f t="shared" si="30"/>
        <v>4.4150218652853948</v>
      </c>
      <c r="O80" s="2">
        <f t="shared" si="20"/>
        <v>565.53751188522074</v>
      </c>
      <c r="P80" s="2">
        <f t="shared" si="21"/>
        <v>5.4702540726275286</v>
      </c>
    </row>
    <row r="81" spans="1:16" x14ac:dyDescent="0.3">
      <c r="A81" s="4">
        <v>79</v>
      </c>
      <c r="B81" s="4">
        <v>-3423</v>
      </c>
      <c r="C81" s="4">
        <v>1896</v>
      </c>
      <c r="D81" s="6">
        <f t="shared" si="22"/>
        <v>3913.0224890741429</v>
      </c>
      <c r="E81" s="2">
        <f t="shared" si="23"/>
        <v>0.21296410528182466</v>
      </c>
      <c r="F81" s="2">
        <f t="shared" si="24"/>
        <v>-28.996772561848989</v>
      </c>
      <c r="G81" s="4">
        <v>-2079</v>
      </c>
      <c r="H81" s="4">
        <v>1174</v>
      </c>
      <c r="I81" s="2">
        <f t="shared" si="25"/>
        <v>2387.5755485429145</v>
      </c>
      <c r="J81" s="2">
        <f t="shared" si="26"/>
        <v>-29.468120140100769</v>
      </c>
      <c r="K81" s="2">
        <f t="shared" si="27"/>
        <v>508.46789048820352</v>
      </c>
      <c r="L81" s="2">
        <f t="shared" si="28"/>
        <v>0.47134757825178042</v>
      </c>
      <c r="M81" s="2">
        <f t="shared" si="29"/>
        <v>508.45070238565233</v>
      </c>
      <c r="N81" s="2">
        <f t="shared" si="30"/>
        <v>4.1807775665020168</v>
      </c>
      <c r="O81" s="2">
        <f t="shared" si="20"/>
        <v>566.00332832387721</v>
      </c>
      <c r="P81" s="2">
        <f t="shared" si="21"/>
        <v>5.1808897795003226</v>
      </c>
    </row>
    <row r="82" spans="1:16" x14ac:dyDescent="0.3">
      <c r="A82" s="4">
        <v>80</v>
      </c>
      <c r="B82" s="4">
        <v>-3453</v>
      </c>
      <c r="C82" s="4">
        <v>1851</v>
      </c>
      <c r="D82" s="6">
        <f t="shared" si="22"/>
        <v>3917.8323088156799</v>
      </c>
      <c r="E82" s="2">
        <f t="shared" si="23"/>
        <v>0.21270265484773682</v>
      </c>
      <c r="F82" s="2">
        <f t="shared" si="24"/>
        <v>-28.208083462557568</v>
      </c>
      <c r="G82" s="4">
        <v>-2097</v>
      </c>
      <c r="H82" s="4">
        <v>1149</v>
      </c>
      <c r="I82" s="2">
        <f t="shared" si="25"/>
        <v>2391.1524418154522</v>
      </c>
      <c r="J82" s="2">
        <f t="shared" si="26"/>
        <v>-28.734030149046966</v>
      </c>
      <c r="K82" s="2">
        <f t="shared" si="27"/>
        <v>508.60447251979525</v>
      </c>
      <c r="L82" s="2">
        <f t="shared" si="28"/>
        <v>0.52594668648939802</v>
      </c>
      <c r="M82" s="2">
        <f t="shared" si="29"/>
        <v>508.58306605921666</v>
      </c>
      <c r="N82" s="2">
        <f t="shared" si="30"/>
        <v>4.6663031347784427</v>
      </c>
      <c r="O82" s="2">
        <f t="shared" si="20"/>
        <v>566.16617493507147</v>
      </c>
      <c r="P82" s="2">
        <f t="shared" si="21"/>
        <v>5.7829008201222818</v>
      </c>
    </row>
    <row r="83" spans="1:16" x14ac:dyDescent="0.3">
      <c r="A83" s="4">
        <v>81</v>
      </c>
      <c r="B83" s="4">
        <v>-3482</v>
      </c>
      <c r="C83" s="4">
        <v>1804</v>
      </c>
      <c r="D83" s="6">
        <f t="shared" si="22"/>
        <v>3921.5736637222562</v>
      </c>
      <c r="E83" s="2">
        <f t="shared" si="23"/>
        <v>0.21249972709740073</v>
      </c>
      <c r="F83" s="2">
        <f t="shared" si="24"/>
        <v>-27.402251724972853</v>
      </c>
      <c r="G83" s="4">
        <v>-2115</v>
      </c>
      <c r="H83" s="4">
        <v>1122</v>
      </c>
      <c r="I83" s="2">
        <f t="shared" si="25"/>
        <v>2394.1823238842944</v>
      </c>
      <c r="J83" s="2">
        <f t="shared" si="26"/>
        <v>-27.959966482751206</v>
      </c>
      <c r="K83" s="2">
        <f t="shared" si="27"/>
        <v>508.76309044683325</v>
      </c>
      <c r="L83" s="2">
        <f t="shared" si="28"/>
        <v>0.55771475777835278</v>
      </c>
      <c r="M83" s="2">
        <f t="shared" si="29"/>
        <v>508.73901242884665</v>
      </c>
      <c r="N83" s="2">
        <f t="shared" si="30"/>
        <v>4.9496902867204895</v>
      </c>
      <c r="O83" s="2">
        <f t="shared" si="20"/>
        <v>566.35869195444138</v>
      </c>
      <c r="P83" s="2">
        <f t="shared" si="21"/>
        <v>6.1345247194972945</v>
      </c>
    </row>
    <row r="84" spans="1:16" x14ac:dyDescent="0.3">
      <c r="A84" s="4">
        <v>82</v>
      </c>
      <c r="B84" s="4">
        <v>-3508</v>
      </c>
      <c r="C84" s="4">
        <v>1758</v>
      </c>
      <c r="D84" s="6">
        <f t="shared" si="22"/>
        <v>3923.8537179665605</v>
      </c>
      <c r="E84" s="2">
        <f t="shared" si="23"/>
        <v>0.21237624876729289</v>
      </c>
      <c r="F84" s="2">
        <f t="shared" si="24"/>
        <v>-26.63079326179783</v>
      </c>
      <c r="G84" s="4">
        <v>-2131</v>
      </c>
      <c r="H84" s="4">
        <v>1093</v>
      </c>
      <c r="I84" s="2">
        <f t="shared" si="25"/>
        <v>2394.9551144019379</v>
      </c>
      <c r="J84" s="2">
        <f t="shared" si="26"/>
        <v>-27.167275195204617</v>
      </c>
      <c r="K84" s="2">
        <f t="shared" si="27"/>
        <v>508.63158316272637</v>
      </c>
      <c r="L84" s="2">
        <f t="shared" si="28"/>
        <v>0.53648193340678674</v>
      </c>
      <c r="M84" s="2">
        <f t="shared" si="29"/>
        <v>508.60930934574333</v>
      </c>
      <c r="N84" s="2">
        <f t="shared" si="30"/>
        <v>4.7600249439899018</v>
      </c>
      <c r="O84" s="2">
        <f t="shared" si="20"/>
        <v>566.19845431652811</v>
      </c>
      <c r="P84" s="2">
        <f t="shared" si="21"/>
        <v>5.8991179593608605</v>
      </c>
    </row>
    <row r="85" spans="1:16" x14ac:dyDescent="0.3">
      <c r="A85" s="4">
        <v>83</v>
      </c>
      <c r="B85" s="4">
        <v>-3533</v>
      </c>
      <c r="C85" s="4">
        <v>1708</v>
      </c>
      <c r="D85" s="6">
        <f t="shared" si="22"/>
        <v>3924.2009377706436</v>
      </c>
      <c r="E85" s="2">
        <f t="shared" si="23"/>
        <v>0.21235745736474795</v>
      </c>
      <c r="F85" s="2">
        <f t="shared" si="24"/>
        <v>-25.814152337700211</v>
      </c>
      <c r="G85" s="4">
        <v>-2152</v>
      </c>
      <c r="H85" s="4">
        <v>1067</v>
      </c>
      <c r="I85" s="2">
        <f t="shared" si="25"/>
        <v>2401.9977102403741</v>
      </c>
      <c r="J85" s="2">
        <f t="shared" si="26"/>
        <v>-26.386411547248446</v>
      </c>
      <c r="K85" s="2">
        <f t="shared" si="27"/>
        <v>510.08212634259246</v>
      </c>
      <c r="L85" s="2">
        <f t="shared" si="28"/>
        <v>0.5722592095482355</v>
      </c>
      <c r="M85" s="2">
        <f t="shared" si="29"/>
        <v>510.05671039123098</v>
      </c>
      <c r="N85" s="2">
        <f t="shared" si="30"/>
        <v>5.0919347066074723</v>
      </c>
      <c r="O85" s="2">
        <f t="shared" si="20"/>
        <v>567.99189529149044</v>
      </c>
      <c r="P85" s="2">
        <f t="shared" si="21"/>
        <v>6.3145232242374929</v>
      </c>
    </row>
    <row r="86" spans="1:16" x14ac:dyDescent="0.3">
      <c r="A86" s="4">
        <v>84</v>
      </c>
      <c r="B86" s="4">
        <v>-3561</v>
      </c>
      <c r="C86" s="4">
        <v>1664</v>
      </c>
      <c r="D86" s="6">
        <f t="shared" si="22"/>
        <v>3930.6000814125064</v>
      </c>
      <c r="E86" s="2">
        <f t="shared" si="23"/>
        <v>0.21201173257846814</v>
      </c>
      <c r="F86" s="2">
        <f t="shared" si="24"/>
        <v>-25.058657607317389</v>
      </c>
      <c r="G86" s="4">
        <v>-2164</v>
      </c>
      <c r="H86" s="4">
        <v>1035</v>
      </c>
      <c r="I86" s="2">
        <f t="shared" si="25"/>
        <v>2398.7748956498608</v>
      </c>
      <c r="J86" s="2">
        <f t="shared" si="26"/>
        <v>-25.573866896257591</v>
      </c>
      <c r="K86" s="2">
        <f t="shared" si="27"/>
        <v>508.56842169246113</v>
      </c>
      <c r="L86" s="2">
        <f t="shared" si="28"/>
        <v>0.51520928894020201</v>
      </c>
      <c r="M86" s="2">
        <f t="shared" si="29"/>
        <v>508.5478818018596</v>
      </c>
      <c r="N86" s="2">
        <f t="shared" si="30"/>
        <v>4.5707174057022524</v>
      </c>
      <c r="O86" s="2">
        <f t="shared" si="20"/>
        <v>566.12281550232547</v>
      </c>
      <c r="P86" s="2">
        <f t="shared" si="21"/>
        <v>5.6643539250952282</v>
      </c>
    </row>
    <row r="87" spans="1:16" x14ac:dyDescent="0.3">
      <c r="A87" s="4">
        <v>85</v>
      </c>
      <c r="B87" s="4">
        <v>-3588</v>
      </c>
      <c r="C87" s="4">
        <v>1617</v>
      </c>
      <c r="D87" s="6">
        <f t="shared" si="22"/>
        <v>3935.5346523693574</v>
      </c>
      <c r="E87" s="2">
        <f t="shared" si="23"/>
        <v>0.21174590162270115</v>
      </c>
      <c r="F87" s="2">
        <f t="shared" si="24"/>
        <v>-24.271913213232633</v>
      </c>
      <c r="G87" s="4">
        <v>-2180</v>
      </c>
      <c r="H87" s="4">
        <v>1007</v>
      </c>
      <c r="I87" s="2">
        <f t="shared" si="25"/>
        <v>2401.343165813666</v>
      </c>
      <c r="J87" s="2">
        <f t="shared" si="26"/>
        <v>-24.806047093524025</v>
      </c>
      <c r="K87" s="2">
        <f t="shared" si="27"/>
        <v>508.47457375072628</v>
      </c>
      <c r="L87" s="2">
        <f t="shared" si="28"/>
        <v>0.53413388029139242</v>
      </c>
      <c r="M87" s="2">
        <f t="shared" si="29"/>
        <v>508.45250129564431</v>
      </c>
      <c r="N87" s="2">
        <f t="shared" si="30"/>
        <v>4.7377291169481355</v>
      </c>
      <c r="O87" s="2">
        <f t="shared" si="20"/>
        <v>566.00418711820021</v>
      </c>
      <c r="P87" s="2">
        <f t="shared" si="21"/>
        <v>5.8710767524938703</v>
      </c>
    </row>
    <row r="88" spans="1:16" x14ac:dyDescent="0.3">
      <c r="A88" s="4">
        <v>86</v>
      </c>
      <c r="B88" s="4">
        <v>-3618</v>
      </c>
      <c r="C88" s="4">
        <v>1567</v>
      </c>
      <c r="D88" s="6">
        <f t="shared" si="22"/>
        <v>3942.7671754746057</v>
      </c>
      <c r="E88" s="2">
        <f t="shared" si="23"/>
        <v>0.2113574797205777</v>
      </c>
      <c r="F88" s="2">
        <f t="shared" si="24"/>
        <v>-23.429903732206611</v>
      </c>
      <c r="G88" s="4">
        <v>-2196</v>
      </c>
      <c r="H88" s="4">
        <v>976</v>
      </c>
      <c r="I88" s="2">
        <f t="shared" si="25"/>
        <v>2403.1213036382496</v>
      </c>
      <c r="J88" s="2">
        <f t="shared" si="26"/>
        <v>-23.974643096898482</v>
      </c>
      <c r="K88" s="2">
        <f t="shared" si="27"/>
        <v>507.91766219980957</v>
      </c>
      <c r="L88" s="2">
        <f t="shared" si="28"/>
        <v>0.54473936469187123</v>
      </c>
      <c r="M88" s="2">
        <f t="shared" si="29"/>
        <v>507.89472967577854</v>
      </c>
      <c r="N88" s="2">
        <f t="shared" si="30"/>
        <v>4.8265041269729814</v>
      </c>
      <c r="O88" s="2">
        <f t="shared" si="20"/>
        <v>565.31283996776529</v>
      </c>
      <c r="P88" s="2">
        <f t="shared" si="21"/>
        <v>5.9796028306481404</v>
      </c>
    </row>
    <row r="89" spans="1:16" x14ac:dyDescent="0.3">
      <c r="A89" s="4">
        <v>87</v>
      </c>
      <c r="B89" s="4">
        <v>-3638</v>
      </c>
      <c r="C89" s="4">
        <v>1521</v>
      </c>
      <c r="D89" s="6">
        <f t="shared" si="22"/>
        <v>3943.1567303367488</v>
      </c>
      <c r="E89" s="2">
        <f t="shared" si="23"/>
        <v>0.21133659915723563</v>
      </c>
      <c r="F89" s="2">
        <f t="shared" si="24"/>
        <v>-22.700672232322418</v>
      </c>
      <c r="G89" s="4">
        <v>-2210</v>
      </c>
      <c r="H89" s="4">
        <v>950</v>
      </c>
      <c r="I89" s="2">
        <f t="shared" si="25"/>
        <v>2405.5352834660316</v>
      </c>
      <c r="J89" s="2">
        <f t="shared" si="26"/>
        <v>-23.27293885460729</v>
      </c>
      <c r="K89" s="2">
        <f t="shared" si="27"/>
        <v>508.37764596044792</v>
      </c>
      <c r="L89" s="2">
        <f t="shared" si="28"/>
        <v>0.57226662228487157</v>
      </c>
      <c r="M89" s="2">
        <f t="shared" si="29"/>
        <v>508.35231428228116</v>
      </c>
      <c r="N89" s="2">
        <f t="shared" si="30"/>
        <v>5.0749853335121546</v>
      </c>
      <c r="O89" s="2">
        <f t="shared" si="20"/>
        <v>565.87912366461023</v>
      </c>
      <c r="P89" s="2">
        <f t="shared" si="21"/>
        <v>6.2887289692191981</v>
      </c>
    </row>
    <row r="90" spans="1:16" x14ac:dyDescent="0.3">
      <c r="A90" s="4">
        <v>88</v>
      </c>
      <c r="B90" s="4">
        <v>-3661</v>
      </c>
      <c r="C90" s="4">
        <v>1470</v>
      </c>
      <c r="D90" s="6">
        <f t="shared" si="22"/>
        <v>3945.100885909003</v>
      </c>
      <c r="E90" s="2">
        <f t="shared" si="23"/>
        <v>0.21123245195320842</v>
      </c>
      <c r="F90" s="2">
        <f t="shared" si="24"/>
        <v>-21.888019118731854</v>
      </c>
      <c r="G90" s="4">
        <v>-2225</v>
      </c>
      <c r="H90" s="4">
        <v>920</v>
      </c>
      <c r="I90" s="2">
        <f t="shared" si="25"/>
        <v>2407.701185778667</v>
      </c>
      <c r="J90" s="2">
        <f t="shared" si="26"/>
        <v>-22.47566396694895</v>
      </c>
      <c r="K90" s="2">
        <f t="shared" si="27"/>
        <v>508.58462504267521</v>
      </c>
      <c r="L90" s="2">
        <f t="shared" si="28"/>
        <v>0.58764484821709573</v>
      </c>
      <c r="M90" s="2">
        <f t="shared" si="29"/>
        <v>508.55790275836938</v>
      </c>
      <c r="N90" s="2">
        <f t="shared" si="30"/>
        <v>5.2134798174989347</v>
      </c>
      <c r="O90" s="2">
        <f t="shared" si="20"/>
        <v>566.13349894648218</v>
      </c>
      <c r="P90" s="2">
        <f t="shared" si="21"/>
        <v>6.460937050949374</v>
      </c>
    </row>
    <row r="91" spans="1:16" x14ac:dyDescent="0.3">
      <c r="A91" s="4">
        <v>89</v>
      </c>
      <c r="B91" s="4">
        <v>-3682</v>
      </c>
      <c r="C91" s="4">
        <v>1421</v>
      </c>
      <c r="D91" s="6">
        <f t="shared" si="22"/>
        <v>3946.6903856269241</v>
      </c>
      <c r="E91" s="2">
        <f t="shared" si="23"/>
        <v>0.21114737967998976</v>
      </c>
      <c r="F91" s="2">
        <f t="shared" si="24"/>
        <v>-21.113879167689682</v>
      </c>
      <c r="G91" s="4">
        <v>-2239</v>
      </c>
      <c r="H91" s="4">
        <v>891</v>
      </c>
      <c r="I91" s="2">
        <f t="shared" si="25"/>
        <v>2409.7721884028788</v>
      </c>
      <c r="J91" s="2">
        <f t="shared" si="26"/>
        <v>-21.710866957087013</v>
      </c>
      <c r="K91" s="2">
        <f t="shared" si="27"/>
        <v>508.81708320698243</v>
      </c>
      <c r="L91" s="2">
        <f t="shared" si="28"/>
        <v>0.59698778939733188</v>
      </c>
      <c r="M91" s="2">
        <f t="shared" si="29"/>
        <v>508.78949185726793</v>
      </c>
      <c r="N91" s="2">
        <f t="shared" si="30"/>
        <v>5.2987865482950633</v>
      </c>
      <c r="O91" s="2">
        <f t="shared" si="20"/>
        <v>566.42026816175621</v>
      </c>
      <c r="P91" s="2">
        <f t="shared" si="21"/>
        <v>6.5673325232955539</v>
      </c>
    </row>
    <row r="92" spans="1:16" x14ac:dyDescent="0.3">
      <c r="A92" s="4">
        <v>90</v>
      </c>
      <c r="B92" s="4">
        <v>-3712</v>
      </c>
      <c r="C92" s="4">
        <v>1373</v>
      </c>
      <c r="D92" s="6">
        <f t="shared" si="22"/>
        <v>3957.7863762461966</v>
      </c>
      <c r="E92" s="2">
        <f t="shared" si="23"/>
        <v>0.21055541004810799</v>
      </c>
      <c r="F92" s="2">
        <f t="shared" si="24"/>
        <v>-20.308795450397536</v>
      </c>
      <c r="G92" s="4">
        <v>-2253</v>
      </c>
      <c r="H92" s="4">
        <v>862</v>
      </c>
      <c r="I92" s="2">
        <f t="shared" si="25"/>
        <v>2412.2713363135581</v>
      </c>
      <c r="J92" s="2">
        <f t="shared" si="26"/>
        <v>-20.947518973383318</v>
      </c>
      <c r="K92" s="2">
        <f t="shared" si="27"/>
        <v>507.91678036479863</v>
      </c>
      <c r="L92" s="2">
        <f t="shared" si="28"/>
        <v>0.6387235229857815</v>
      </c>
      <c r="M92" s="2">
        <f t="shared" si="29"/>
        <v>507.88525223718415</v>
      </c>
      <c r="N92" s="2">
        <f t="shared" si="30"/>
        <v>5.6591815764222089</v>
      </c>
      <c r="O92" s="2">
        <f t="shared" si="20"/>
        <v>565.29869030981081</v>
      </c>
      <c r="P92" s="2">
        <f t="shared" si="21"/>
        <v>7.0111823904705988</v>
      </c>
    </row>
    <row r="93" spans="1:16" x14ac:dyDescent="0.3">
      <c r="A93" s="4">
        <v>91</v>
      </c>
      <c r="B93" s="4">
        <v>-3732</v>
      </c>
      <c r="C93" s="4">
        <v>1317</v>
      </c>
      <c r="D93" s="6">
        <f t="shared" si="22"/>
        <v>3957.5640234871753</v>
      </c>
      <c r="E93" s="2">
        <f t="shared" si="23"/>
        <v>0.21056723994550783</v>
      </c>
      <c r="F93" s="2">
        <f t="shared" si="24"/>
        <v>-19.44748466632424</v>
      </c>
      <c r="G93" s="4">
        <v>-2272</v>
      </c>
      <c r="H93" s="4">
        <v>828</v>
      </c>
      <c r="I93" s="2">
        <f t="shared" si="25"/>
        <v>2418.1745181024467</v>
      </c>
      <c r="J93" s="2">
        <f t="shared" si="26"/>
        <v>-20.033748766574359</v>
      </c>
      <c r="K93" s="2">
        <f t="shared" si="27"/>
        <v>509.18833398339063</v>
      </c>
      <c r="L93" s="2">
        <f t="shared" si="28"/>
        <v>0.58626410025011921</v>
      </c>
      <c r="M93" s="2">
        <f t="shared" si="29"/>
        <v>509.16170555396263</v>
      </c>
      <c r="N93" s="2">
        <f t="shared" si="30"/>
        <v>5.2074045512945535</v>
      </c>
      <c r="O93" s="2">
        <f t="shared" si="20"/>
        <v>566.88189293612595</v>
      </c>
      <c r="P93" s="2">
        <f t="shared" si="21"/>
        <v>6.4551436068509638</v>
      </c>
    </row>
    <row r="94" spans="1:16" x14ac:dyDescent="0.3">
      <c r="A94" s="4">
        <v>92</v>
      </c>
      <c r="B94" s="4">
        <v>-3752</v>
      </c>
      <c r="C94" s="4">
        <v>1271</v>
      </c>
      <c r="D94" s="6">
        <f t="shared" si="22"/>
        <v>3961.4321905088823</v>
      </c>
      <c r="E94" s="2">
        <f t="shared" si="23"/>
        <v>0.21036163015232229</v>
      </c>
      <c r="F94" s="2">
        <f t="shared" si="24"/>
        <v>-18.723439365941818</v>
      </c>
      <c r="G94" s="4">
        <v>-2281</v>
      </c>
      <c r="H94" s="4">
        <v>800</v>
      </c>
      <c r="I94" s="2">
        <f t="shared" si="25"/>
        <v>2417.2217523429663</v>
      </c>
      <c r="J94" s="2">
        <f t="shared" si="26"/>
        <v>-19.336763629826994</v>
      </c>
      <c r="K94" s="2">
        <f t="shared" si="27"/>
        <v>508.49070826251943</v>
      </c>
      <c r="L94" s="2">
        <f t="shared" si="28"/>
        <v>0.61332426388517547</v>
      </c>
      <c r="M94" s="2">
        <f t="shared" si="29"/>
        <v>508.46160488040971</v>
      </c>
      <c r="N94" s="2">
        <f t="shared" si="30"/>
        <v>5.4402896758171817</v>
      </c>
      <c r="O94" s="2">
        <f t="shared" si="20"/>
        <v>566.01349555789693</v>
      </c>
      <c r="P94" s="2">
        <f t="shared" si="21"/>
        <v>6.7417270190198364</v>
      </c>
    </row>
    <row r="95" spans="1:16" x14ac:dyDescent="0.3">
      <c r="A95" s="4">
        <v>93</v>
      </c>
      <c r="B95" s="4">
        <v>-3773</v>
      </c>
      <c r="C95" s="4">
        <v>1219</v>
      </c>
      <c r="D95" s="6">
        <f t="shared" si="22"/>
        <v>3965.0334172614484</v>
      </c>
      <c r="E95" s="2">
        <f t="shared" si="23"/>
        <v>0.21017056998952011</v>
      </c>
      <c r="F95" s="2">
        <f t="shared" si="24"/>
        <v>-17.913952207208109</v>
      </c>
      <c r="G95" s="4">
        <v>-2295</v>
      </c>
      <c r="H95" s="4">
        <v>769</v>
      </c>
      <c r="I95" s="2">
        <f t="shared" si="25"/>
        <v>2420.4102957969749</v>
      </c>
      <c r="J95" s="2">
        <f t="shared" si="26"/>
        <v>-18.534173548719764</v>
      </c>
      <c r="K95" s="2">
        <f t="shared" si="27"/>
        <v>508.69901147615315</v>
      </c>
      <c r="L95" s="2">
        <f t="shared" si="28"/>
        <v>0.62022134151165531</v>
      </c>
      <c r="M95" s="2">
        <f t="shared" si="29"/>
        <v>508.6692376697967</v>
      </c>
      <c r="N95" s="2">
        <f t="shared" si="30"/>
        <v>5.5037192191494917</v>
      </c>
      <c r="O95" s="2">
        <f t="shared" si="20"/>
        <v>566.27061828263322</v>
      </c>
      <c r="P95" s="2">
        <f t="shared" si="21"/>
        <v>6.8209606911549372</v>
      </c>
    </row>
    <row r="96" spans="1:16" x14ac:dyDescent="0.3">
      <c r="A96" s="4">
        <v>94</v>
      </c>
      <c r="B96" s="4">
        <v>-3794</v>
      </c>
      <c r="C96" s="4">
        <v>1168</v>
      </c>
      <c r="D96" s="6">
        <f t="shared" si="22"/>
        <v>3969.7178741064208</v>
      </c>
      <c r="E96" s="2">
        <f t="shared" si="23"/>
        <v>0.20992255867072562</v>
      </c>
      <c r="F96" s="2">
        <f t="shared" si="24"/>
        <v>-17.119897234164331</v>
      </c>
      <c r="G96" s="4">
        <v>-2307</v>
      </c>
      <c r="H96" s="4">
        <v>737</v>
      </c>
      <c r="I96" s="2">
        <f t="shared" si="25"/>
        <v>2421.862506419388</v>
      </c>
      <c r="J96" s="2">
        <f t="shared" si="26"/>
        <v>-17.725717882787698</v>
      </c>
      <c r="K96" s="2">
        <f t="shared" si="27"/>
        <v>508.4035740962546</v>
      </c>
      <c r="L96" s="2">
        <f t="shared" si="28"/>
        <v>0.60582064862336793</v>
      </c>
      <c r="M96" s="2">
        <f t="shared" si="29"/>
        <v>508.37518333834646</v>
      </c>
      <c r="N96" s="2">
        <f t="shared" si="30"/>
        <v>5.3728130014438449</v>
      </c>
      <c r="O96" s="2">
        <f t="shared" si="20"/>
        <v>565.90660374537492</v>
      </c>
      <c r="P96" s="2">
        <f t="shared" si="21"/>
        <v>6.6578524667720416</v>
      </c>
    </row>
    <row r="97" spans="1:16" x14ac:dyDescent="0.3">
      <c r="A97" s="4">
        <v>95</v>
      </c>
      <c r="B97" s="4">
        <v>-3814</v>
      </c>
      <c r="C97" s="4">
        <v>1115</v>
      </c>
      <c r="D97" s="6">
        <f t="shared" si="22"/>
        <v>3973.6407738999255</v>
      </c>
      <c r="E97" s="2">
        <f t="shared" si="23"/>
        <v>0.20971531669569096</v>
      </c>
      <c r="F97" s="2">
        <f t="shared" si="24"/>
        <v>-16.304229288420263</v>
      </c>
      <c r="G97" s="4">
        <v>-2320</v>
      </c>
      <c r="H97" s="4">
        <v>704</v>
      </c>
      <c r="I97" s="2">
        <f t="shared" si="25"/>
        <v>2424.4620021769779</v>
      </c>
      <c r="J97" s="2">
        <f t="shared" si="26"/>
        <v>-16.888892114070039</v>
      </c>
      <c r="K97" s="2">
        <f t="shared" si="27"/>
        <v>508.4468166032139</v>
      </c>
      <c r="L97" s="2">
        <f t="shared" si="28"/>
        <v>0.5846628256497759</v>
      </c>
      <c r="M97" s="2">
        <f t="shared" si="29"/>
        <v>508.42037200210615</v>
      </c>
      <c r="N97" s="2">
        <f t="shared" si="30"/>
        <v>5.1856192669948795</v>
      </c>
      <c r="O97" s="2">
        <f t="shared" si="20"/>
        <v>565.96314608088323</v>
      </c>
      <c r="P97" s="2">
        <f t="shared" si="21"/>
        <v>6.4260167068586567</v>
      </c>
    </row>
    <row r="98" spans="1:16" x14ac:dyDescent="0.3">
      <c r="A98" s="4">
        <v>96</v>
      </c>
      <c r="B98" s="4">
        <v>-3832</v>
      </c>
      <c r="C98" s="4">
        <v>1064</v>
      </c>
      <c r="D98" s="6">
        <f t="shared" si="22"/>
        <v>3976.973723825693</v>
      </c>
      <c r="E98" s="2">
        <f t="shared" si="23"/>
        <v>0.20953956229102247</v>
      </c>
      <c r="F98" s="2">
        <f t="shared" si="24"/>
        <v>-15.525812461547158</v>
      </c>
      <c r="G98" s="4">
        <v>-2331</v>
      </c>
      <c r="H98" s="4">
        <v>677</v>
      </c>
      <c r="I98" s="2">
        <f t="shared" si="25"/>
        <v>2427.3215691374721</v>
      </c>
      <c r="J98" s="2">
        <f t="shared" si="26"/>
        <v>-16.203270565123294</v>
      </c>
      <c r="K98" s="2">
        <f t="shared" si="27"/>
        <v>508.61989913662376</v>
      </c>
      <c r="L98" s="2">
        <f t="shared" si="28"/>
        <v>0.67745810357613578</v>
      </c>
      <c r="M98" s="2">
        <f t="shared" si="29"/>
        <v>508.58438203914272</v>
      </c>
      <c r="N98" s="2">
        <f t="shared" si="30"/>
        <v>6.01066914849131</v>
      </c>
      <c r="O98" s="2">
        <f t="shared" si="20"/>
        <v>566.16384526982256</v>
      </c>
      <c r="P98" s="2">
        <f t="shared" si="21"/>
        <v>7.4489586682696203</v>
      </c>
    </row>
    <row r="99" spans="1:16" x14ac:dyDescent="0.3">
      <c r="A99" s="4">
        <v>97</v>
      </c>
      <c r="B99" s="4">
        <v>-3847</v>
      </c>
      <c r="C99" s="4">
        <v>1008</v>
      </c>
      <c r="D99" s="6">
        <f t="shared" si="22"/>
        <v>3976.8672343944299</v>
      </c>
      <c r="E99" s="2">
        <f t="shared" si="23"/>
        <v>0.20954517317705418</v>
      </c>
      <c r="F99" s="2">
        <f t="shared" si="24"/>
        <v>-14.690145333399061</v>
      </c>
      <c r="G99" s="4">
        <v>-2346</v>
      </c>
      <c r="H99" s="4">
        <v>647</v>
      </c>
      <c r="I99" s="2">
        <f t="shared" si="25"/>
        <v>2433.5827497744967</v>
      </c>
      <c r="J99" s="2">
        <f t="shared" si="26"/>
        <v>-15.426068566530116</v>
      </c>
      <c r="K99" s="2">
        <f t="shared" si="27"/>
        <v>509.9455187421886</v>
      </c>
      <c r="L99" s="2">
        <f t="shared" si="28"/>
        <v>0.73592323313105545</v>
      </c>
      <c r="M99" s="2">
        <f t="shared" si="29"/>
        <v>509.90349766965551</v>
      </c>
      <c r="N99" s="2">
        <f t="shared" si="30"/>
        <v>6.5463844594889462</v>
      </c>
      <c r="O99" s="2">
        <f t="shared" si="20"/>
        <v>567.79722794363806</v>
      </c>
      <c r="P99" s="2">
        <f t="shared" si="21"/>
        <v>8.117629816570533</v>
      </c>
    </row>
    <row r="100" spans="1:16" x14ac:dyDescent="0.3">
      <c r="A100" s="4">
        <v>98</v>
      </c>
      <c r="B100" s="4">
        <v>-3866</v>
      </c>
      <c r="C100" s="4">
        <v>957</v>
      </c>
      <c r="D100" s="6">
        <f t="shared" si="22"/>
        <v>3982.6881625354499</v>
      </c>
      <c r="E100" s="2">
        <f t="shared" si="23"/>
        <v>0.20923891083725185</v>
      </c>
      <c r="F100" s="2">
        <f t="shared" si="24"/>
        <v>-13.910707105022089</v>
      </c>
      <c r="G100" s="4">
        <v>-2357</v>
      </c>
      <c r="H100" s="4">
        <v>617</v>
      </c>
      <c r="I100" s="2">
        <f t="shared" si="25"/>
        <v>2436.4190936700525</v>
      </c>
      <c r="J100" s="2">
        <f t="shared" si="26"/>
        <v>-14.676792257019047</v>
      </c>
      <c r="K100" s="2">
        <f t="shared" si="27"/>
        <v>509.7936775026061</v>
      </c>
      <c r="L100" s="2">
        <f t="shared" si="28"/>
        <v>0.76608515199695759</v>
      </c>
      <c r="M100" s="2">
        <f t="shared" si="29"/>
        <v>509.74815497563708</v>
      </c>
      <c r="N100" s="2">
        <f t="shared" si="30"/>
        <v>6.8126441683864654</v>
      </c>
      <c r="O100" s="2">
        <f t="shared" si="20"/>
        <v>567.60362558800898</v>
      </c>
      <c r="P100" s="2">
        <f t="shared" si="21"/>
        <v>8.4472104641034207</v>
      </c>
    </row>
    <row r="101" spans="1:16" x14ac:dyDescent="0.3">
      <c r="A101" s="4">
        <v>99</v>
      </c>
      <c r="B101" s="4">
        <v>-3885</v>
      </c>
      <c r="C101" s="4">
        <v>904</v>
      </c>
      <c r="D101" s="6">
        <f t="shared" si="22"/>
        <v>3988.7894153489729</v>
      </c>
      <c r="E101" s="2">
        <f t="shared" si="23"/>
        <v>0.20891885897175808</v>
      </c>
      <c r="F101" s="2">
        <f t="shared" si="24"/>
        <v>-13.105695201937513</v>
      </c>
      <c r="G101" s="4">
        <v>-2367</v>
      </c>
      <c r="H101" s="4">
        <v>582</v>
      </c>
      <c r="I101" s="2">
        <f t="shared" si="25"/>
        <v>2437.5013846149914</v>
      </c>
      <c r="J101" s="2">
        <f t="shared" si="26"/>
        <v>-13.820909365095432</v>
      </c>
      <c r="K101" s="2">
        <f t="shared" si="27"/>
        <v>509.24000801584441</v>
      </c>
      <c r="L101" s="2">
        <f t="shared" si="28"/>
        <v>0.71521416315791875</v>
      </c>
      <c r="M101" s="2">
        <f t="shared" si="29"/>
        <v>509.20037351573103</v>
      </c>
      <c r="N101" s="2">
        <f t="shared" si="30"/>
        <v>6.3533751201491038</v>
      </c>
      <c r="O101" s="2">
        <f t="shared" si="20"/>
        <v>566.92616933242789</v>
      </c>
      <c r="P101" s="2">
        <f t="shared" si="21"/>
        <v>7.8758290642401469</v>
      </c>
    </row>
    <row r="102" spans="1:16" x14ac:dyDescent="0.3">
      <c r="A102" s="4">
        <v>100</v>
      </c>
      <c r="B102" s="4">
        <v>-3900</v>
      </c>
      <c r="C102" s="4">
        <v>852</v>
      </c>
      <c r="D102" s="6">
        <f t="shared" si="22"/>
        <v>3991.9799598695381</v>
      </c>
      <c r="E102" s="2">
        <f t="shared" si="23"/>
        <v>0.20875188295298144</v>
      </c>
      <c r="F102" s="2">
        <f t="shared" si="24"/>
        <v>-12.329564020213825</v>
      </c>
      <c r="G102" s="4">
        <v>-2374</v>
      </c>
      <c r="H102" s="4">
        <v>550</v>
      </c>
      <c r="I102" s="2">
        <f t="shared" si="25"/>
        <v>2436.8783309800265</v>
      </c>
      <c r="J102" s="2">
        <f t="shared" si="26"/>
        <v>-13.050577164462668</v>
      </c>
      <c r="K102" s="2">
        <f t="shared" si="27"/>
        <v>508.70294011939927</v>
      </c>
      <c r="L102" s="2">
        <f t="shared" si="28"/>
        <v>0.72101314424884322</v>
      </c>
      <c r="M102" s="2">
        <f t="shared" si="29"/>
        <v>508.66270278736624</v>
      </c>
      <c r="N102" s="2">
        <f t="shared" si="30"/>
        <v>6.3981309124352359</v>
      </c>
      <c r="O102" s="2">
        <f t="shared" si="20"/>
        <v>566.25958199759953</v>
      </c>
      <c r="P102" s="2">
        <f t="shared" si="21"/>
        <v>7.9294105834179618</v>
      </c>
    </row>
  </sheetData>
  <mergeCells count="2">
    <mergeCell ref="B5:F5"/>
    <mergeCell ref="G5:P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A36A-861B-480F-8A6F-91FEC6771810}">
  <dimension ref="A1:P102"/>
  <sheetViews>
    <sheetView workbookViewId="0">
      <selection activeCell="S11" sqref="S11"/>
    </sheetView>
  </sheetViews>
  <sheetFormatPr defaultRowHeight="14.4" x14ac:dyDescent="0.3"/>
  <cols>
    <col min="1" max="1" width="11.5546875" bestFit="1" customWidth="1"/>
    <col min="2" max="2" width="6.5546875" bestFit="1" customWidth="1"/>
    <col min="3" max="3" width="5.109375" bestFit="1" customWidth="1"/>
    <col min="4" max="4" width="7.5546875" bestFit="1" customWidth="1"/>
    <col min="5" max="5" width="8.88671875" style="7" bestFit="1" customWidth="1"/>
    <col min="6" max="6" width="10.21875" style="7" bestFit="1" customWidth="1"/>
    <col min="7" max="7" width="5.6640625" bestFit="1" customWidth="1"/>
    <col min="8" max="8" width="5.109375" bestFit="1" customWidth="1"/>
    <col min="9" max="9" width="7.5546875" bestFit="1" customWidth="1"/>
    <col min="10" max="10" width="6.5546875" bestFit="1" customWidth="1"/>
    <col min="11" max="11" width="7.5546875" bestFit="1" customWidth="1"/>
    <col min="12" max="12" width="6.33203125" bestFit="1" customWidth="1"/>
    <col min="13" max="16" width="7.5546875" bestFit="1" customWidth="1"/>
  </cols>
  <sheetData>
    <row r="1" spans="1:16" x14ac:dyDescent="0.3">
      <c r="A1" s="1" t="s">
        <v>12</v>
      </c>
      <c r="B1" s="1">
        <v>1000</v>
      </c>
    </row>
    <row r="2" spans="1:16" x14ac:dyDescent="0.3">
      <c r="A2" s="1" t="s">
        <v>9</v>
      </c>
      <c r="B2" s="1">
        <v>5000</v>
      </c>
    </row>
    <row r="3" spans="1:16" x14ac:dyDescent="0.3">
      <c r="A3" s="1" t="s">
        <v>13</v>
      </c>
      <c r="B3" s="3">
        <f>B1*B2/(B1+B2)</f>
        <v>833.33333333333337</v>
      </c>
    </row>
    <row r="4" spans="1:16" x14ac:dyDescent="0.3">
      <c r="A4" s="13"/>
      <c r="B4" s="3" t="s">
        <v>21</v>
      </c>
      <c r="C4" t="s">
        <v>21</v>
      </c>
      <c r="G4" s="14" t="s">
        <v>21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3">
      <c r="B5" s="8" t="s">
        <v>14</v>
      </c>
      <c r="C5" s="9"/>
      <c r="D5" s="9"/>
      <c r="E5" s="9"/>
      <c r="F5" s="9"/>
      <c r="G5" s="11" t="s">
        <v>18</v>
      </c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16</v>
      </c>
      <c r="F6" s="1" t="s">
        <v>15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5" t="s">
        <v>6</v>
      </c>
      <c r="M6" s="5" t="s">
        <v>10</v>
      </c>
      <c r="N6" s="5" t="s">
        <v>11</v>
      </c>
      <c r="O6" s="5" t="s">
        <v>7</v>
      </c>
      <c r="P6" s="5" t="s">
        <v>8</v>
      </c>
    </row>
    <row r="7" spans="1:16" x14ac:dyDescent="0.3">
      <c r="A7" s="4">
        <v>5</v>
      </c>
      <c r="B7" s="4">
        <v>-132</v>
      </c>
      <c r="C7" s="4">
        <v>3779</v>
      </c>
      <c r="D7" s="6">
        <f>SQRT(B7*B7+C7*C7)</f>
        <v>3781.3046690262872</v>
      </c>
      <c r="E7" s="2">
        <f>$B$3/D7</f>
        <v>0.22038248865778981</v>
      </c>
      <c r="F7" s="2">
        <f>180*ATAN(C7/B7)/3.14</f>
        <v>-88.044113505795991</v>
      </c>
      <c r="G7">
        <v>-136</v>
      </c>
      <c r="H7">
        <v>2279</v>
      </c>
      <c r="I7" s="2">
        <f>SQRT(G7*G7+H7*H7)</f>
        <v>2283.0543138523885</v>
      </c>
      <c r="J7" s="2">
        <f>180*ATAN(H7/G7)/3.14</f>
        <v>-86.628824542545502</v>
      </c>
      <c r="K7" s="2">
        <f>I7*E7</f>
        <v>503.14519142769211</v>
      </c>
      <c r="L7" s="2">
        <f>F7-J7</f>
        <v>-1.4152889632504895</v>
      </c>
      <c r="M7" s="2">
        <f>K7*COS(L7*3.14/180)</f>
        <v>502.99185483926436</v>
      </c>
      <c r="N7" s="2">
        <f>K7*SIN(L7*3.14/180)</f>
        <v>-12.420854325099185</v>
      </c>
      <c r="O7" s="2">
        <f>-$B$2-$B$2*$B$2*(M7-$B$2)/(M7*M7-2*M7*$B$2+$B$2*$B$2+N7*N7)</f>
        <v>559.20925085247836</v>
      </c>
      <c r="P7" s="2">
        <f>$B$2*$B$2*N7/(M7*M7-2*M7*$B$2+$B$2*$B$2+N7*N7)</f>
        <v>-15.354681610236302</v>
      </c>
    </row>
    <row r="8" spans="1:16" x14ac:dyDescent="0.3">
      <c r="A8" s="4">
        <v>6</v>
      </c>
      <c r="B8" s="4">
        <v>-194</v>
      </c>
      <c r="C8" s="4">
        <v>3775</v>
      </c>
      <c r="D8" s="6">
        <f t="shared" ref="D8:D71" si="0">SQRT(B8*B8+C8*C8)</f>
        <v>3779.9816137118974</v>
      </c>
      <c r="E8" s="2">
        <f t="shared" ref="E8:E71" si="1">$B$3/D8</f>
        <v>0.22045962612897735</v>
      </c>
      <c r="F8" s="2">
        <f t="shared" ref="F8:F71" si="2">180*ATAN(C8/B8)/3.14</f>
        <v>-87.10227331650411</v>
      </c>
      <c r="G8">
        <v>-257</v>
      </c>
      <c r="H8">
        <v>2268</v>
      </c>
      <c r="I8" s="2">
        <f t="shared" ref="I8:I71" si="3">SQRT(G8*G8+H8*H8)</f>
        <v>2282.5146220780275</v>
      </c>
      <c r="J8" s="2">
        <f t="shared" ref="J8:J71" si="4">180*ATAN(H8/G8)/3.14</f>
        <v>-83.577435793914518</v>
      </c>
      <c r="K8" s="2">
        <f t="shared" ref="K8:K71" si="5">I8*E8</f>
        <v>503.20232021724598</v>
      </c>
      <c r="L8" s="2">
        <f t="shared" ref="L8:L71" si="6">F8-J8</f>
        <v>-3.5248375225895927</v>
      </c>
      <c r="M8" s="2">
        <f t="shared" ref="M8:M71" si="7">K8*COS(L8*3.14/180)</f>
        <v>502.25134698570628</v>
      </c>
      <c r="N8" s="2">
        <f t="shared" ref="N8:N71" si="8">K8*SIN(L8*3.14/180)</f>
        <v>-30.921829232169571</v>
      </c>
      <c r="O8" s="2">
        <f t="shared" ref="O8:O71" si="9">-$B$2-$B$2*$B$2*(M8-$B$2)/(M8*M8-2*M8*$B$2+$B$2*$B$2+N8*N8)</f>
        <v>558.07368497573407</v>
      </c>
      <c r="P8" s="2">
        <f t="shared" ref="P8:P71" si="10">$B$2*$B$2*N8/(M8*M8-2*M8*$B$2+$B$2*$B$2+N8*N8)</f>
        <v>-38.211518385193521</v>
      </c>
    </row>
    <row r="9" spans="1:16" x14ac:dyDescent="0.3">
      <c r="A9" s="4">
        <v>7</v>
      </c>
      <c r="B9" s="4">
        <v>-254</v>
      </c>
      <c r="C9" s="4">
        <v>3780</v>
      </c>
      <c r="D9" s="6">
        <f t="shared" si="0"/>
        <v>3788.5242509452146</v>
      </c>
      <c r="E9" s="2">
        <f t="shared" si="1"/>
        <v>0.21996251789213744</v>
      </c>
      <c r="F9" s="2">
        <f t="shared" si="2"/>
        <v>-86.199444584093399</v>
      </c>
      <c r="G9">
        <v>-363</v>
      </c>
      <c r="H9">
        <v>2250</v>
      </c>
      <c r="I9" s="2">
        <f t="shared" si="3"/>
        <v>2279.0938988992971</v>
      </c>
      <c r="J9" s="2">
        <f t="shared" si="4"/>
        <v>-80.876251932063454</v>
      </c>
      <c r="K9" s="2">
        <f t="shared" si="5"/>
        <v>501.31523251449789</v>
      </c>
      <c r="L9" s="2">
        <f t="shared" si="6"/>
        <v>-5.3231926520299453</v>
      </c>
      <c r="M9" s="2">
        <f t="shared" si="7"/>
        <v>499.15536327252244</v>
      </c>
      <c r="N9" s="2">
        <f t="shared" si="8"/>
        <v>-46.48532744147613</v>
      </c>
      <c r="O9" s="2">
        <f t="shared" si="9"/>
        <v>553.92055116692154</v>
      </c>
      <c r="P9" s="2">
        <f t="shared" si="10"/>
        <v>-57.361636813274934</v>
      </c>
    </row>
    <row r="10" spans="1:16" x14ac:dyDescent="0.3">
      <c r="A10" s="4">
        <v>8</v>
      </c>
      <c r="B10" s="4">
        <v>-330</v>
      </c>
      <c r="C10" s="4">
        <v>3770</v>
      </c>
      <c r="D10" s="6">
        <f t="shared" si="0"/>
        <v>3784.4154106017486</v>
      </c>
      <c r="E10" s="2">
        <f t="shared" si="1"/>
        <v>0.22020133704106959</v>
      </c>
      <c r="F10" s="2">
        <f t="shared" si="2"/>
        <v>-85.040582065632663</v>
      </c>
      <c r="G10">
        <v>-474</v>
      </c>
      <c r="H10">
        <v>2216</v>
      </c>
      <c r="I10" s="2">
        <f t="shared" si="3"/>
        <v>2266.1270926406578</v>
      </c>
      <c r="J10" s="2">
        <f t="shared" si="4"/>
        <v>-77.96595891420445</v>
      </c>
      <c r="K10" s="2">
        <f t="shared" si="5"/>
        <v>499.00421570446463</v>
      </c>
      <c r="L10" s="2">
        <f t="shared" si="6"/>
        <v>-7.074623151428213</v>
      </c>
      <c r="M10" s="2">
        <f t="shared" si="7"/>
        <v>495.20893556210348</v>
      </c>
      <c r="N10" s="2">
        <f t="shared" si="8"/>
        <v>-61.427334552919298</v>
      </c>
      <c r="O10" s="2">
        <f t="shared" si="9"/>
        <v>548.6152395750496</v>
      </c>
      <c r="P10" s="2">
        <f t="shared" si="10"/>
        <v>-75.660921838853881</v>
      </c>
    </row>
    <row r="11" spans="1:16" x14ac:dyDescent="0.3">
      <c r="A11" s="4">
        <v>9</v>
      </c>
      <c r="B11" s="4">
        <v>-397</v>
      </c>
      <c r="C11" s="4">
        <v>3766</v>
      </c>
      <c r="D11" s="6">
        <f t="shared" si="0"/>
        <v>3786.8674389262692</v>
      </c>
      <c r="E11" s="2">
        <f t="shared" si="1"/>
        <v>0.22005875483447535</v>
      </c>
      <c r="F11" s="2">
        <f t="shared" si="2"/>
        <v>-84.02487965897339</v>
      </c>
      <c r="G11">
        <v>-569</v>
      </c>
      <c r="H11">
        <v>2180</v>
      </c>
      <c r="I11" s="2">
        <f t="shared" si="3"/>
        <v>2253.0337325481837</v>
      </c>
      <c r="J11" s="2">
        <f t="shared" si="4"/>
        <v>-75.409866515012055</v>
      </c>
      <c r="K11" s="2">
        <f t="shared" si="5"/>
        <v>495.79979778462365</v>
      </c>
      <c r="L11" s="2">
        <f t="shared" si="6"/>
        <v>-8.6150131439613347</v>
      </c>
      <c r="M11" s="2">
        <f t="shared" si="7"/>
        <v>490.21142999730716</v>
      </c>
      <c r="N11" s="2">
        <f t="shared" si="8"/>
        <v>-74.230676834236846</v>
      </c>
      <c r="O11" s="2">
        <f t="shared" si="9"/>
        <v>541.99564734612886</v>
      </c>
      <c r="P11" s="2">
        <f t="shared" si="10"/>
        <v>-91.220703926404255</v>
      </c>
    </row>
    <row r="12" spans="1:16" x14ac:dyDescent="0.3">
      <c r="A12" s="4">
        <v>10</v>
      </c>
      <c r="B12" s="4">
        <v>-448</v>
      </c>
      <c r="C12" s="4">
        <v>3760</v>
      </c>
      <c r="D12" s="6">
        <f t="shared" si="0"/>
        <v>3786.5953044918861</v>
      </c>
      <c r="E12" s="2">
        <f t="shared" si="1"/>
        <v>0.22007456998237532</v>
      </c>
      <c r="F12" s="2">
        <f t="shared" si="2"/>
        <v>-83.247504508501393</v>
      </c>
      <c r="G12">
        <v>-646</v>
      </c>
      <c r="H12">
        <v>2139</v>
      </c>
      <c r="I12" s="2">
        <f t="shared" si="3"/>
        <v>2234.4209540728889</v>
      </c>
      <c r="J12" s="2">
        <f t="shared" si="4"/>
        <v>-73.232269448846949</v>
      </c>
      <c r="K12" s="2">
        <f t="shared" si="5"/>
        <v>491.73923062719979</v>
      </c>
      <c r="L12" s="2">
        <f t="shared" si="6"/>
        <v>-10.015235059654444</v>
      </c>
      <c r="M12" s="2">
        <f t="shared" si="7"/>
        <v>484.25346075333124</v>
      </c>
      <c r="N12" s="2">
        <f t="shared" si="8"/>
        <v>-85.475474179745035</v>
      </c>
      <c r="O12" s="2">
        <f t="shared" si="9"/>
        <v>534.20037258746743</v>
      </c>
      <c r="P12" s="2">
        <f t="shared" si="10"/>
        <v>-104.75308942639398</v>
      </c>
    </row>
    <row r="13" spans="1:16" x14ac:dyDescent="0.3">
      <c r="A13" s="4">
        <v>11</v>
      </c>
      <c r="B13" s="4">
        <v>-502</v>
      </c>
      <c r="C13" s="4">
        <v>3752</v>
      </c>
      <c r="D13" s="6">
        <f t="shared" si="0"/>
        <v>3785.4336607580381</v>
      </c>
      <c r="E13" s="2">
        <f t="shared" si="1"/>
        <v>0.22014210471369278</v>
      </c>
      <c r="F13" s="2">
        <f t="shared" si="2"/>
        <v>-82.421135289763555</v>
      </c>
      <c r="G13">
        <v>-717</v>
      </c>
      <c r="H13">
        <v>2094</v>
      </c>
      <c r="I13" s="2">
        <f t="shared" si="3"/>
        <v>2213.3515310496887</v>
      </c>
      <c r="J13" s="2">
        <f t="shared" si="4"/>
        <v>-71.134505648463232</v>
      </c>
      <c r="K13" s="2">
        <f t="shared" si="5"/>
        <v>487.25186451655281</v>
      </c>
      <c r="L13" s="2">
        <f t="shared" si="6"/>
        <v>-11.286629641300323</v>
      </c>
      <c r="M13" s="2">
        <f t="shared" si="7"/>
        <v>477.83810860777646</v>
      </c>
      <c r="N13" s="2">
        <f t="shared" si="8"/>
        <v>-95.31590337923673</v>
      </c>
      <c r="O13" s="2">
        <f t="shared" si="9"/>
        <v>525.87434917037081</v>
      </c>
      <c r="P13" s="2">
        <f t="shared" si="10"/>
        <v>-116.4716607235773</v>
      </c>
    </row>
    <row r="14" spans="1:16" x14ac:dyDescent="0.3">
      <c r="A14" s="4">
        <v>12</v>
      </c>
      <c r="B14" s="4">
        <v>-567</v>
      </c>
      <c r="C14" s="4">
        <v>3749</v>
      </c>
      <c r="D14" s="6">
        <f t="shared" si="0"/>
        <v>3791.6342123153177</v>
      </c>
      <c r="E14" s="2">
        <f t="shared" si="1"/>
        <v>0.21978210098079792</v>
      </c>
      <c r="F14" s="2">
        <f t="shared" si="2"/>
        <v>-81.441032276510256</v>
      </c>
      <c r="G14">
        <v>-795</v>
      </c>
      <c r="H14">
        <v>2056</v>
      </c>
      <c r="I14" s="2">
        <f t="shared" si="3"/>
        <v>2204.3504712272957</v>
      </c>
      <c r="J14" s="2">
        <f t="shared" si="4"/>
        <v>-68.894778668746255</v>
      </c>
      <c r="K14" s="2">
        <f t="shared" si="5"/>
        <v>484.47677786434696</v>
      </c>
      <c r="L14" s="2">
        <f t="shared" si="6"/>
        <v>-12.546253607764001</v>
      </c>
      <c r="M14" s="2">
        <f t="shared" si="7"/>
        <v>472.9196185346122</v>
      </c>
      <c r="N14" s="2">
        <f t="shared" si="8"/>
        <v>-105.189270816451</v>
      </c>
      <c r="O14" s="2">
        <f t="shared" si="9"/>
        <v>519.34312859230795</v>
      </c>
      <c r="P14" s="2">
        <f t="shared" si="10"/>
        <v>-128.24505645170044</v>
      </c>
    </row>
    <row r="15" spans="1:16" x14ac:dyDescent="0.3">
      <c r="A15" s="4">
        <v>13</v>
      </c>
      <c r="B15" s="4">
        <v>-620</v>
      </c>
      <c r="C15" s="4">
        <v>3743</v>
      </c>
      <c r="D15" s="6">
        <f t="shared" si="0"/>
        <v>3794.0017132310313</v>
      </c>
      <c r="E15" s="2">
        <f t="shared" si="1"/>
        <v>0.21964495440980011</v>
      </c>
      <c r="F15" s="2">
        <f t="shared" si="2"/>
        <v>-80.635658744409426</v>
      </c>
      <c r="G15">
        <v>-859</v>
      </c>
      <c r="H15">
        <v>2013</v>
      </c>
      <c r="I15" s="2">
        <f t="shared" si="3"/>
        <v>2188.6182855856796</v>
      </c>
      <c r="J15" s="2">
        <f t="shared" si="4"/>
        <v>-66.924711656634841</v>
      </c>
      <c r="K15" s="2">
        <f t="shared" si="5"/>
        <v>480.71896355792148</v>
      </c>
      <c r="L15" s="2">
        <f t="shared" si="6"/>
        <v>-13.710947087774585</v>
      </c>
      <c r="M15" s="2">
        <f t="shared" si="7"/>
        <v>467.03414397221223</v>
      </c>
      <c r="N15" s="2">
        <f t="shared" si="8"/>
        <v>-113.88516272256523</v>
      </c>
      <c r="O15" s="2">
        <f t="shared" si="9"/>
        <v>511.67395921660318</v>
      </c>
      <c r="P15" s="2">
        <f t="shared" si="10"/>
        <v>-138.4739937726238</v>
      </c>
    </row>
    <row r="16" spans="1:16" x14ac:dyDescent="0.3">
      <c r="A16" s="4">
        <v>14</v>
      </c>
      <c r="B16" s="4">
        <v>-669</v>
      </c>
      <c r="C16" s="4">
        <v>3728</v>
      </c>
      <c r="D16" s="6">
        <f t="shared" si="0"/>
        <v>3787.5513197843275</v>
      </c>
      <c r="E16" s="2">
        <f t="shared" si="1"/>
        <v>0.22001902099132098</v>
      </c>
      <c r="F16" s="2">
        <f t="shared" si="2"/>
        <v>-79.866887169920574</v>
      </c>
      <c r="G16">
        <v>-912</v>
      </c>
      <c r="H16">
        <v>1963</v>
      </c>
      <c r="I16" s="2">
        <f t="shared" si="3"/>
        <v>2164.5121852278862</v>
      </c>
      <c r="J16" s="2">
        <f t="shared" si="4"/>
        <v>-65.113664148073752</v>
      </c>
      <c r="K16" s="2">
        <f t="shared" si="5"/>
        <v>476.23385191762435</v>
      </c>
      <c r="L16" s="2">
        <f t="shared" si="6"/>
        <v>-14.753223021846821</v>
      </c>
      <c r="M16" s="2">
        <f t="shared" si="7"/>
        <v>460.54901829569161</v>
      </c>
      <c r="N16" s="2">
        <f t="shared" si="8"/>
        <v>-121.21585481764545</v>
      </c>
      <c r="O16" s="2">
        <f t="shared" si="9"/>
        <v>503.3498261983359</v>
      </c>
      <c r="P16" s="2">
        <f t="shared" si="10"/>
        <v>-146.95461108222298</v>
      </c>
    </row>
    <row r="17" spans="1:16" x14ac:dyDescent="0.3">
      <c r="A17" s="4">
        <v>15</v>
      </c>
      <c r="B17" s="4">
        <v>-723</v>
      </c>
      <c r="C17" s="4">
        <v>3720</v>
      </c>
      <c r="D17" s="6">
        <f t="shared" si="0"/>
        <v>3789.6080272239237</v>
      </c>
      <c r="E17" s="2">
        <f t="shared" si="1"/>
        <v>0.2198996116080616</v>
      </c>
      <c r="F17" s="2">
        <f t="shared" si="2"/>
        <v>-79.041476882949269</v>
      </c>
      <c r="G17">
        <v>-964</v>
      </c>
      <c r="H17">
        <v>1913</v>
      </c>
      <c r="I17" s="2">
        <f t="shared" si="3"/>
        <v>2142.1636258698823</v>
      </c>
      <c r="J17" s="2">
        <f t="shared" si="4"/>
        <v>-63.287610421646157</v>
      </c>
      <c r="K17" s="2">
        <f t="shared" si="5"/>
        <v>471.0609493297041</v>
      </c>
      <c r="L17" s="2">
        <f t="shared" si="6"/>
        <v>-15.753866461303112</v>
      </c>
      <c r="M17" s="2">
        <f t="shared" si="7"/>
        <v>453.38427083274587</v>
      </c>
      <c r="N17" s="2">
        <f t="shared" si="8"/>
        <v>-127.83239395732748</v>
      </c>
      <c r="O17" s="2">
        <f t="shared" si="9"/>
        <v>494.25208557076621</v>
      </c>
      <c r="P17" s="2">
        <f t="shared" si="10"/>
        <v>-154.47608483776338</v>
      </c>
    </row>
    <row r="18" spans="1:16" x14ac:dyDescent="0.3">
      <c r="A18" s="4">
        <v>16</v>
      </c>
      <c r="B18" s="4">
        <v>-780</v>
      </c>
      <c r="C18" s="4">
        <v>3711</v>
      </c>
      <c r="D18" s="6">
        <f t="shared" si="0"/>
        <v>3792.0866287573126</v>
      </c>
      <c r="E18" s="2">
        <f t="shared" si="1"/>
        <v>0.21975587978759367</v>
      </c>
      <c r="F18" s="2">
        <f t="shared" si="2"/>
        <v>-78.169646686811149</v>
      </c>
      <c r="G18">
        <v>-1013</v>
      </c>
      <c r="H18">
        <v>1870</v>
      </c>
      <c r="I18" s="2">
        <f t="shared" si="3"/>
        <v>2126.7508081578339</v>
      </c>
      <c r="J18" s="2">
        <f t="shared" si="4"/>
        <v>-61.586318965918622</v>
      </c>
      <c r="K18" s="2">
        <f t="shared" si="5"/>
        <v>467.36599493570066</v>
      </c>
      <c r="L18" s="2">
        <f t="shared" si="6"/>
        <v>-16.583327720892527</v>
      </c>
      <c r="M18" s="2">
        <f t="shared" si="7"/>
        <v>447.94578495945836</v>
      </c>
      <c r="N18" s="2">
        <f t="shared" si="8"/>
        <v>-133.32496750156</v>
      </c>
      <c r="O18" s="2">
        <f t="shared" si="9"/>
        <v>487.31871619820413</v>
      </c>
      <c r="P18" s="2">
        <f t="shared" si="10"/>
        <v>-160.7178989851534</v>
      </c>
    </row>
    <row r="19" spans="1:16" x14ac:dyDescent="0.3">
      <c r="A19" s="4">
        <v>17</v>
      </c>
      <c r="B19" s="4">
        <v>-829</v>
      </c>
      <c r="C19" s="4">
        <v>3705</v>
      </c>
      <c r="D19" s="6">
        <f t="shared" si="0"/>
        <v>3796.612437423657</v>
      </c>
      <c r="E19" s="2">
        <f t="shared" si="1"/>
        <v>0.21949391650279296</v>
      </c>
      <c r="F19" s="2">
        <f t="shared" si="2"/>
        <v>-77.426963540375169</v>
      </c>
      <c r="G19">
        <v>-1063</v>
      </c>
      <c r="H19">
        <v>1824</v>
      </c>
      <c r="I19" s="2">
        <f t="shared" si="3"/>
        <v>2111.1477920789912</v>
      </c>
      <c r="J19" s="2">
        <f t="shared" si="4"/>
        <v>-59.797320173748339</v>
      </c>
      <c r="K19" s="2">
        <f t="shared" si="5"/>
        <v>463.38409719964181</v>
      </c>
      <c r="L19" s="2">
        <f t="shared" si="6"/>
        <v>-17.62964336662683</v>
      </c>
      <c r="M19" s="2">
        <f t="shared" si="7"/>
        <v>441.64273320149169</v>
      </c>
      <c r="N19" s="2">
        <f t="shared" si="8"/>
        <v>-140.27301147349436</v>
      </c>
      <c r="O19" s="2">
        <f t="shared" si="9"/>
        <v>479.24327591577639</v>
      </c>
      <c r="P19" s="2">
        <f t="shared" si="10"/>
        <v>-168.61117063086363</v>
      </c>
    </row>
    <row r="20" spans="1:16" x14ac:dyDescent="0.3">
      <c r="A20" s="4">
        <v>18</v>
      </c>
      <c r="B20" s="4">
        <v>-881</v>
      </c>
      <c r="C20" s="4">
        <v>3687</v>
      </c>
      <c r="D20" s="6">
        <f t="shared" si="0"/>
        <v>3790.7954310408259</v>
      </c>
      <c r="E20" s="2">
        <f t="shared" si="1"/>
        <v>0.21983073170068895</v>
      </c>
      <c r="F20" s="2">
        <f t="shared" si="2"/>
        <v>-76.600124463911897</v>
      </c>
      <c r="G20">
        <v>-1103</v>
      </c>
      <c r="H20">
        <v>1770</v>
      </c>
      <c r="I20" s="2">
        <f t="shared" si="3"/>
        <v>2085.5476498991816</v>
      </c>
      <c r="J20" s="2">
        <f t="shared" si="4"/>
        <v>-58.099785743340185</v>
      </c>
      <c r="K20" s="2">
        <f t="shared" si="5"/>
        <v>458.46746587398934</v>
      </c>
      <c r="L20" s="2">
        <f t="shared" si="6"/>
        <v>-18.500338720571712</v>
      </c>
      <c r="M20" s="2">
        <f t="shared" si="7"/>
        <v>434.79849057269018</v>
      </c>
      <c r="N20" s="2">
        <f t="shared" si="8"/>
        <v>-145.40526077356296</v>
      </c>
      <c r="O20" s="2">
        <f t="shared" si="9"/>
        <v>470.65969277518707</v>
      </c>
      <c r="P20" s="2">
        <f t="shared" si="10"/>
        <v>-174.24481648591765</v>
      </c>
    </row>
    <row r="21" spans="1:16" x14ac:dyDescent="0.3">
      <c r="A21" s="4">
        <v>19</v>
      </c>
      <c r="B21" s="4">
        <v>-927</v>
      </c>
      <c r="C21" s="4">
        <v>3670</v>
      </c>
      <c r="D21" s="6">
        <f t="shared" si="0"/>
        <v>3785.2647199370349</v>
      </c>
      <c r="E21" s="2">
        <f t="shared" si="1"/>
        <v>0.22015192991500876</v>
      </c>
      <c r="F21" s="2">
        <f t="shared" si="2"/>
        <v>-75.862711925207392</v>
      </c>
      <c r="G21">
        <v>-1138</v>
      </c>
      <c r="H21">
        <v>1724</v>
      </c>
      <c r="I21" s="2">
        <f t="shared" si="3"/>
        <v>2065.725054309019</v>
      </c>
      <c r="J21" s="2">
        <f t="shared" si="4"/>
        <v>-56.600178846076396</v>
      </c>
      <c r="K21" s="2">
        <f t="shared" si="5"/>
        <v>454.77335737991683</v>
      </c>
      <c r="L21" s="2">
        <f t="shared" si="6"/>
        <v>-19.262533079130996</v>
      </c>
      <c r="M21" s="2">
        <f t="shared" si="7"/>
        <v>429.3392900592716</v>
      </c>
      <c r="N21" s="2">
        <f t="shared" si="8"/>
        <v>-149.95526197503773</v>
      </c>
      <c r="O21" s="2">
        <f t="shared" si="9"/>
        <v>463.78762916078449</v>
      </c>
      <c r="P21" s="2">
        <f t="shared" si="10"/>
        <v>-179.25717030906034</v>
      </c>
    </row>
    <row r="22" spans="1:16" x14ac:dyDescent="0.3">
      <c r="A22" s="4">
        <v>20</v>
      </c>
      <c r="B22" s="4">
        <v>-983</v>
      </c>
      <c r="C22" s="4">
        <v>3670</v>
      </c>
      <c r="D22" s="6">
        <f t="shared" si="0"/>
        <v>3799.3669209488048</v>
      </c>
      <c r="E22" s="2">
        <f t="shared" si="1"/>
        <v>0.21933478673474038</v>
      </c>
      <c r="F22" s="2">
        <f t="shared" si="2"/>
        <v>-75.043484963629879</v>
      </c>
      <c r="G22">
        <v>-1180</v>
      </c>
      <c r="H22">
        <v>1679</v>
      </c>
      <c r="I22" s="2">
        <f t="shared" si="3"/>
        <v>2052.1795730393574</v>
      </c>
      <c r="J22" s="2">
        <f t="shared" si="4"/>
        <v>-54.928325184211012</v>
      </c>
      <c r="K22" s="2">
        <f t="shared" si="5"/>
        <v>450.11436899397802</v>
      </c>
      <c r="L22" s="2">
        <f t="shared" si="6"/>
        <v>-20.115159779418867</v>
      </c>
      <c r="M22" s="2">
        <f t="shared" si="7"/>
        <v>422.68641812263991</v>
      </c>
      <c r="N22" s="2">
        <f t="shared" si="8"/>
        <v>-154.72277501874066</v>
      </c>
      <c r="O22" s="2">
        <f t="shared" si="9"/>
        <v>455.48554140141732</v>
      </c>
      <c r="P22" s="2">
        <f t="shared" si="10"/>
        <v>-184.40682442692645</v>
      </c>
    </row>
    <row r="23" spans="1:16" x14ac:dyDescent="0.3">
      <c r="A23" s="4">
        <v>21</v>
      </c>
      <c r="B23" s="4">
        <v>-1035</v>
      </c>
      <c r="C23" s="4">
        <v>3657</v>
      </c>
      <c r="D23" s="6">
        <f t="shared" si="0"/>
        <v>3800.6412616820335</v>
      </c>
      <c r="E23" s="2">
        <f t="shared" si="1"/>
        <v>0.21926124460495086</v>
      </c>
      <c r="F23" s="2">
        <f t="shared" si="2"/>
        <v>-74.235120088263486</v>
      </c>
      <c r="G23">
        <v>-1217</v>
      </c>
      <c r="H23">
        <v>1633</v>
      </c>
      <c r="I23" s="2">
        <f t="shared" si="3"/>
        <v>2036.6094372755911</v>
      </c>
      <c r="J23" s="2">
        <f t="shared" si="4"/>
        <v>-53.331563585307713</v>
      </c>
      <c r="K23" s="2">
        <f t="shared" si="5"/>
        <v>446.54951999123472</v>
      </c>
      <c r="L23" s="2">
        <f t="shared" si="6"/>
        <v>-20.903556502955773</v>
      </c>
      <c r="M23" s="2">
        <f t="shared" si="7"/>
        <v>417.18813192832283</v>
      </c>
      <c r="N23" s="2">
        <f t="shared" si="8"/>
        <v>-159.24991799859245</v>
      </c>
      <c r="O23" s="2">
        <f t="shared" si="9"/>
        <v>448.58683367966023</v>
      </c>
      <c r="P23" s="2">
        <f t="shared" si="10"/>
        <v>-189.33507013823709</v>
      </c>
    </row>
    <row r="24" spans="1:16" x14ac:dyDescent="0.3">
      <c r="A24" s="4">
        <v>22</v>
      </c>
      <c r="B24" s="4">
        <v>-1084</v>
      </c>
      <c r="C24" s="4">
        <v>3636</v>
      </c>
      <c r="D24" s="6">
        <f t="shared" si="0"/>
        <v>3794.14707147733</v>
      </c>
      <c r="E24" s="2">
        <f t="shared" si="1"/>
        <v>0.21963653955271104</v>
      </c>
      <c r="F24" s="2">
        <f t="shared" si="2"/>
        <v>-73.43634165194014</v>
      </c>
      <c r="G24">
        <v>-1245</v>
      </c>
      <c r="H24">
        <v>1579</v>
      </c>
      <c r="I24" s="2">
        <f t="shared" si="3"/>
        <v>2010.7874079573903</v>
      </c>
      <c r="J24" s="2">
        <f t="shared" si="4"/>
        <v>-51.771395238194181</v>
      </c>
      <c r="K24" s="2">
        <f t="shared" si="5"/>
        <v>441.64238805992665</v>
      </c>
      <c r="L24" s="2">
        <f t="shared" si="6"/>
        <v>-21.664946413745959</v>
      </c>
      <c r="M24" s="2">
        <f t="shared" si="7"/>
        <v>410.47540240207536</v>
      </c>
      <c r="N24" s="2">
        <f t="shared" si="8"/>
        <v>-162.96607915185646</v>
      </c>
      <c r="O24" s="2">
        <f t="shared" si="9"/>
        <v>440.32790991169168</v>
      </c>
      <c r="P24" s="2">
        <f t="shared" si="10"/>
        <v>-193.17663298781477</v>
      </c>
    </row>
    <row r="25" spans="1:16" x14ac:dyDescent="0.3">
      <c r="A25" s="4">
        <v>23</v>
      </c>
      <c r="B25" s="4">
        <v>-1134</v>
      </c>
      <c r="C25" s="4">
        <v>3624</v>
      </c>
      <c r="D25" s="6">
        <f t="shared" si="0"/>
        <v>3797.2795525217789</v>
      </c>
      <c r="E25" s="2">
        <f t="shared" si="1"/>
        <v>0.21945535528979304</v>
      </c>
      <c r="F25" s="2">
        <f t="shared" si="2"/>
        <v>-72.661208794058865</v>
      </c>
      <c r="G25">
        <v>-1281</v>
      </c>
      <c r="H25">
        <v>1533</v>
      </c>
      <c r="I25" s="2">
        <f t="shared" si="3"/>
        <v>1997.7612469962471</v>
      </c>
      <c r="J25" s="2">
        <f t="shared" si="4"/>
        <v>-50.142735079719955</v>
      </c>
      <c r="K25" s="2">
        <f t="shared" si="5"/>
        <v>438.41940424374138</v>
      </c>
      <c r="L25" s="2">
        <f t="shared" si="6"/>
        <v>-22.51847371433891</v>
      </c>
      <c r="M25" s="2">
        <f t="shared" si="7"/>
        <v>405.02604420232501</v>
      </c>
      <c r="N25" s="2">
        <f t="shared" si="8"/>
        <v>-167.82573561660141</v>
      </c>
      <c r="O25" s="2">
        <f t="shared" si="9"/>
        <v>433.47906622970731</v>
      </c>
      <c r="P25" s="2">
        <f t="shared" si="10"/>
        <v>-198.45109678953679</v>
      </c>
    </row>
    <row r="26" spans="1:16" x14ac:dyDescent="0.3">
      <c r="A26" s="4">
        <v>24</v>
      </c>
      <c r="B26" s="4">
        <v>-1184</v>
      </c>
      <c r="C26" s="4">
        <v>3611</v>
      </c>
      <c r="D26" s="6">
        <f t="shared" si="0"/>
        <v>3800.1548652653619</v>
      </c>
      <c r="E26" s="2">
        <f t="shared" si="1"/>
        <v>0.21928930869377672</v>
      </c>
      <c r="F26" s="2">
        <f t="shared" si="2"/>
        <v>-71.88279616383069</v>
      </c>
      <c r="G26">
        <v>-1302</v>
      </c>
      <c r="H26">
        <v>1484</v>
      </c>
      <c r="I26" s="2">
        <f t="shared" si="3"/>
        <v>1974.1985715727787</v>
      </c>
      <c r="J26" s="2">
        <f t="shared" si="4"/>
        <v>-48.762349976738228</v>
      </c>
      <c r="K26" s="2">
        <f t="shared" si="5"/>
        <v>432.92063998443615</v>
      </c>
      <c r="L26" s="2">
        <f t="shared" si="6"/>
        <v>-23.120446187092462</v>
      </c>
      <c r="M26" s="2">
        <f t="shared" si="7"/>
        <v>398.18384147866442</v>
      </c>
      <c r="N26" s="2">
        <f t="shared" si="8"/>
        <v>-169.91147374391065</v>
      </c>
      <c r="O26" s="2">
        <f t="shared" si="9"/>
        <v>425.24155627691653</v>
      </c>
      <c r="P26" s="2">
        <f t="shared" si="10"/>
        <v>-200.31456200977755</v>
      </c>
    </row>
    <row r="27" spans="1:16" x14ac:dyDescent="0.3">
      <c r="A27" s="4">
        <v>25</v>
      </c>
      <c r="B27" s="4">
        <v>-1233</v>
      </c>
      <c r="C27" s="4">
        <v>3593</v>
      </c>
      <c r="D27" s="6">
        <f t="shared" si="0"/>
        <v>3798.6758219147891</v>
      </c>
      <c r="E27" s="2">
        <f t="shared" si="1"/>
        <v>0.21937469065556564</v>
      </c>
      <c r="F27" s="2">
        <f t="shared" si="2"/>
        <v>-71.095499577150846</v>
      </c>
      <c r="G27">
        <v>-1328</v>
      </c>
      <c r="H27">
        <v>1439</v>
      </c>
      <c r="I27" s="2">
        <f t="shared" si="3"/>
        <v>1958.1381463012256</v>
      </c>
      <c r="J27" s="2">
        <f t="shared" si="4"/>
        <v>-47.321215450028774</v>
      </c>
      <c r="K27" s="2">
        <f t="shared" si="5"/>
        <v>429.56595010569407</v>
      </c>
      <c r="L27" s="2">
        <f t="shared" si="6"/>
        <v>-23.774284127122073</v>
      </c>
      <c r="M27" s="2">
        <f t="shared" si="7"/>
        <v>393.14970260671487</v>
      </c>
      <c r="N27" s="2">
        <f t="shared" si="8"/>
        <v>-173.09019853954564</v>
      </c>
      <c r="O27" s="2">
        <f t="shared" si="9"/>
        <v>419.0512170850343</v>
      </c>
      <c r="P27" s="2">
        <f t="shared" si="10"/>
        <v>-203.60649695779327</v>
      </c>
    </row>
    <row r="28" spans="1:16" x14ac:dyDescent="0.3">
      <c r="A28" s="4">
        <v>26</v>
      </c>
      <c r="B28" s="4">
        <v>-1283</v>
      </c>
      <c r="C28" s="4">
        <v>3578</v>
      </c>
      <c r="D28" s="6">
        <f t="shared" si="0"/>
        <v>3801.0752426122795</v>
      </c>
      <c r="E28" s="2">
        <f t="shared" si="1"/>
        <v>0.21923621084665168</v>
      </c>
      <c r="F28" s="2">
        <f t="shared" si="2"/>
        <v>-70.308814508218987</v>
      </c>
      <c r="G28">
        <v>-1359</v>
      </c>
      <c r="H28">
        <v>1398</v>
      </c>
      <c r="I28" s="2">
        <f t="shared" si="3"/>
        <v>1949.6884366482764</v>
      </c>
      <c r="J28" s="2">
        <f t="shared" si="4"/>
        <v>-45.833676915109329</v>
      </c>
      <c r="K28" s="2">
        <f t="shared" si="5"/>
        <v>427.44230518230023</v>
      </c>
      <c r="L28" s="2">
        <f t="shared" si="6"/>
        <v>-24.475137593109658</v>
      </c>
      <c r="M28" s="2">
        <f t="shared" si="7"/>
        <v>389.07116491476125</v>
      </c>
      <c r="N28" s="2">
        <f t="shared" si="8"/>
        <v>-177.00438664459517</v>
      </c>
      <c r="O28" s="2">
        <f t="shared" si="9"/>
        <v>413.92290331160075</v>
      </c>
      <c r="P28" s="2">
        <f t="shared" si="10"/>
        <v>-207.82973173431787</v>
      </c>
    </row>
    <row r="29" spans="1:16" x14ac:dyDescent="0.3">
      <c r="A29" s="4">
        <v>27</v>
      </c>
      <c r="B29" s="4">
        <v>-1334</v>
      </c>
      <c r="C29" s="4">
        <v>3557</v>
      </c>
      <c r="D29" s="6">
        <f t="shared" si="0"/>
        <v>3798.921557494969</v>
      </c>
      <c r="E29" s="2">
        <f t="shared" si="1"/>
        <v>0.21936050026861786</v>
      </c>
      <c r="F29" s="2">
        <f t="shared" si="2"/>
        <v>-69.477411638912017</v>
      </c>
      <c r="G29">
        <v>-1373</v>
      </c>
      <c r="H29">
        <v>1347</v>
      </c>
      <c r="I29" s="2">
        <f t="shared" si="3"/>
        <v>1923.418311236534</v>
      </c>
      <c r="J29" s="2">
        <f t="shared" si="4"/>
        <v>-44.474883304901667</v>
      </c>
      <c r="K29" s="2">
        <f t="shared" si="5"/>
        <v>421.92200297866623</v>
      </c>
      <c r="L29" s="2">
        <f t="shared" si="6"/>
        <v>-25.00252833401035</v>
      </c>
      <c r="M29" s="2">
        <f t="shared" si="7"/>
        <v>382.42276924704379</v>
      </c>
      <c r="N29" s="2">
        <f t="shared" si="8"/>
        <v>-178.24422054852698</v>
      </c>
      <c r="O29" s="2">
        <f t="shared" si="9"/>
        <v>406.03930972505714</v>
      </c>
      <c r="P29" s="2">
        <f t="shared" si="10"/>
        <v>-208.67983681986254</v>
      </c>
    </row>
    <row r="30" spans="1:16" x14ac:dyDescent="0.3">
      <c r="A30" s="4">
        <v>28</v>
      </c>
      <c r="B30" s="4">
        <v>-1381</v>
      </c>
      <c r="C30" s="4">
        <v>3548</v>
      </c>
      <c r="D30" s="6">
        <f t="shared" si="0"/>
        <v>3807.2910316916937</v>
      </c>
      <c r="E30" s="2">
        <f t="shared" si="1"/>
        <v>0.21887828547823368</v>
      </c>
      <c r="F30" s="2">
        <f t="shared" si="2"/>
        <v>-68.767214013271854</v>
      </c>
      <c r="G30">
        <v>-1391</v>
      </c>
      <c r="H30">
        <v>1308</v>
      </c>
      <c r="I30" s="2">
        <f t="shared" si="3"/>
        <v>1909.3834083284582</v>
      </c>
      <c r="J30" s="2">
        <f t="shared" si="4"/>
        <v>-43.260519067575316</v>
      </c>
      <c r="K30" s="2">
        <f t="shared" si="5"/>
        <v>417.92256673551913</v>
      </c>
      <c r="L30" s="2">
        <f t="shared" si="6"/>
        <v>-25.506694945696538</v>
      </c>
      <c r="M30" s="2">
        <f t="shared" si="7"/>
        <v>377.23033836214751</v>
      </c>
      <c r="N30" s="2">
        <f t="shared" si="8"/>
        <v>-179.87924729102059</v>
      </c>
      <c r="O30" s="2">
        <f t="shared" si="9"/>
        <v>399.83738915637878</v>
      </c>
      <c r="P30" s="2">
        <f t="shared" si="10"/>
        <v>-210.11617626460321</v>
      </c>
    </row>
    <row r="31" spans="1:16" x14ac:dyDescent="0.3">
      <c r="A31" s="4">
        <v>29</v>
      </c>
      <c r="B31" s="4">
        <v>-1430</v>
      </c>
      <c r="C31" s="4">
        <v>3526</v>
      </c>
      <c r="D31" s="6">
        <f t="shared" si="0"/>
        <v>3804.9409982284878</v>
      </c>
      <c r="E31" s="2">
        <f t="shared" si="1"/>
        <v>0.21901347056927253</v>
      </c>
      <c r="F31" s="2">
        <f t="shared" si="2"/>
        <v>-67.959009473698146</v>
      </c>
      <c r="G31">
        <v>-1420</v>
      </c>
      <c r="H31">
        <v>1266</v>
      </c>
      <c r="I31" s="2">
        <f t="shared" si="3"/>
        <v>1902.4079478387384</v>
      </c>
      <c r="J31" s="2">
        <f t="shared" si="4"/>
        <v>-41.739737804261381</v>
      </c>
      <c r="K31" s="2">
        <f t="shared" si="5"/>
        <v>416.65296709472972</v>
      </c>
      <c r="L31" s="2">
        <f t="shared" si="6"/>
        <v>-26.219271669436765</v>
      </c>
      <c r="M31" s="2">
        <f t="shared" si="7"/>
        <v>373.82616169078773</v>
      </c>
      <c r="N31" s="2">
        <f t="shared" si="8"/>
        <v>-183.99373854665532</v>
      </c>
      <c r="O31" s="2">
        <f t="shared" si="9"/>
        <v>395.49903698484013</v>
      </c>
      <c r="P31" s="2">
        <f t="shared" si="10"/>
        <v>-214.59159855146041</v>
      </c>
    </row>
    <row r="32" spans="1:16" x14ac:dyDescent="0.3">
      <c r="A32" s="4">
        <v>30</v>
      </c>
      <c r="B32" s="4">
        <v>-1479</v>
      </c>
      <c r="C32" s="4">
        <v>3506</v>
      </c>
      <c r="D32" s="6">
        <f t="shared" si="0"/>
        <v>3805.1907967932434</v>
      </c>
      <c r="E32" s="2">
        <f t="shared" si="1"/>
        <v>0.21899909303775519</v>
      </c>
      <c r="F32" s="2">
        <f t="shared" si="2"/>
        <v>-67.161683535773037</v>
      </c>
      <c r="G32">
        <v>-1428</v>
      </c>
      <c r="H32">
        <v>1214</v>
      </c>
      <c r="I32" s="2">
        <f t="shared" si="3"/>
        <v>1874.2945339513744</v>
      </c>
      <c r="J32" s="2">
        <f t="shared" si="4"/>
        <v>-40.389670797712292</v>
      </c>
      <c r="K32" s="2">
        <f t="shared" si="5"/>
        <v>410.46880302097304</v>
      </c>
      <c r="L32" s="2">
        <f t="shared" si="6"/>
        <v>-26.772012738060745</v>
      </c>
      <c r="M32" s="2">
        <f t="shared" si="7"/>
        <v>366.51277759088487</v>
      </c>
      <c r="N32" s="2">
        <f t="shared" si="8"/>
        <v>-184.80536279038256</v>
      </c>
      <c r="O32" s="2">
        <f t="shared" si="9"/>
        <v>386.9347610128234</v>
      </c>
      <c r="P32" s="2">
        <f t="shared" si="10"/>
        <v>-214.85641052863073</v>
      </c>
    </row>
    <row r="33" spans="1:16" x14ac:dyDescent="0.3">
      <c r="A33" s="4">
        <v>31</v>
      </c>
      <c r="B33" s="4">
        <v>-1530</v>
      </c>
      <c r="C33" s="4">
        <v>3499</v>
      </c>
      <c r="D33" s="6">
        <f t="shared" si="0"/>
        <v>3818.8874034200066</v>
      </c>
      <c r="E33" s="2">
        <f t="shared" si="1"/>
        <v>0.218213643216357</v>
      </c>
      <c r="F33" s="2">
        <f t="shared" si="2"/>
        <v>-66.415460175160888</v>
      </c>
      <c r="G33">
        <v>-1438</v>
      </c>
      <c r="H33">
        <v>1173</v>
      </c>
      <c r="I33" s="2">
        <f t="shared" si="3"/>
        <v>1855.7405529868663</v>
      </c>
      <c r="J33" s="2">
        <f t="shared" si="4"/>
        <v>-39.224570388431623</v>
      </c>
      <c r="K33" s="2">
        <f t="shared" si="5"/>
        <v>404.9479069316011</v>
      </c>
      <c r="L33" s="2">
        <f t="shared" si="6"/>
        <v>-27.190889786729265</v>
      </c>
      <c r="M33" s="2">
        <f t="shared" si="7"/>
        <v>360.24123449548927</v>
      </c>
      <c r="N33" s="2">
        <f t="shared" si="8"/>
        <v>-184.95691470569724</v>
      </c>
      <c r="O33" s="2">
        <f t="shared" si="9"/>
        <v>379.66236457734885</v>
      </c>
      <c r="P33" s="2">
        <f t="shared" si="10"/>
        <v>-214.45204447011565</v>
      </c>
    </row>
    <row r="34" spans="1:16" x14ac:dyDescent="0.3">
      <c r="A34" s="4">
        <v>32</v>
      </c>
      <c r="B34" s="4">
        <v>-1571</v>
      </c>
      <c r="C34" s="4">
        <v>3470</v>
      </c>
      <c r="D34" s="6">
        <f t="shared" si="0"/>
        <v>3809.0603828240896</v>
      </c>
      <c r="E34" s="2">
        <f t="shared" si="1"/>
        <v>0.21877661406761123</v>
      </c>
      <c r="F34" s="2">
        <f t="shared" si="2"/>
        <v>-65.675236687468001</v>
      </c>
      <c r="G34">
        <v>-1451</v>
      </c>
      <c r="H34">
        <v>1126</v>
      </c>
      <c r="I34" s="2">
        <f t="shared" si="3"/>
        <v>1836.6483060183298</v>
      </c>
      <c r="J34" s="2">
        <f t="shared" si="4"/>
        <v>-37.831233177518691</v>
      </c>
      <c r="K34" s="2">
        <f t="shared" si="5"/>
        <v>401.81569762370407</v>
      </c>
      <c r="L34" s="2">
        <f t="shared" si="6"/>
        <v>-27.84400350994931</v>
      </c>
      <c r="M34" s="2">
        <f t="shared" si="7"/>
        <v>355.34071714813649</v>
      </c>
      <c r="N34" s="2">
        <f t="shared" si="8"/>
        <v>-187.58685879739033</v>
      </c>
      <c r="O34" s="2">
        <f t="shared" si="9"/>
        <v>373.76066542430999</v>
      </c>
      <c r="P34" s="2">
        <f t="shared" si="10"/>
        <v>-217.0335479456246</v>
      </c>
    </row>
    <row r="35" spans="1:16" x14ac:dyDescent="0.3">
      <c r="A35" s="4">
        <v>33</v>
      </c>
      <c r="B35" s="4">
        <v>-1625</v>
      </c>
      <c r="C35" s="4">
        <v>3449</v>
      </c>
      <c r="D35" s="6">
        <f t="shared" si="0"/>
        <v>3812.6402925007233</v>
      </c>
      <c r="E35" s="2">
        <f t="shared" si="1"/>
        <v>0.2185711919827473</v>
      </c>
      <c r="F35" s="2">
        <f t="shared" si="2"/>
        <v>-64.805334791978254</v>
      </c>
      <c r="G35">
        <v>-1464</v>
      </c>
      <c r="H35">
        <v>1084</v>
      </c>
      <c r="I35" s="2">
        <f t="shared" si="3"/>
        <v>1821.6344309438159</v>
      </c>
      <c r="J35" s="2">
        <f t="shared" si="4"/>
        <v>-36.536144637190098</v>
      </c>
      <c r="K35" s="2">
        <f t="shared" si="5"/>
        <v>398.15680892820342</v>
      </c>
      <c r="L35" s="2">
        <f t="shared" si="6"/>
        <v>-28.269190154788156</v>
      </c>
      <c r="M35" s="2">
        <f t="shared" si="7"/>
        <v>350.71666240375373</v>
      </c>
      <c r="N35" s="2">
        <f t="shared" si="8"/>
        <v>-188.48519095213106</v>
      </c>
      <c r="O35" s="2">
        <f t="shared" si="9"/>
        <v>368.349679637181</v>
      </c>
      <c r="P35" s="2">
        <f t="shared" si="10"/>
        <v>-217.63664225019477</v>
      </c>
    </row>
    <row r="36" spans="1:16" x14ac:dyDescent="0.3">
      <c r="A36" s="4">
        <v>34</v>
      </c>
      <c r="B36" s="4">
        <v>-1663</v>
      </c>
      <c r="C36" s="4">
        <v>3430</v>
      </c>
      <c r="D36" s="6">
        <f t="shared" si="0"/>
        <v>3811.8852291221992</v>
      </c>
      <c r="E36" s="2">
        <f t="shared" si="1"/>
        <v>0.21861448685988727</v>
      </c>
      <c r="F36" s="2">
        <f t="shared" si="2"/>
        <v>-64.166582775697421</v>
      </c>
      <c r="G36">
        <v>-1474</v>
      </c>
      <c r="H36">
        <v>1037</v>
      </c>
      <c r="I36" s="2">
        <f t="shared" si="3"/>
        <v>1802.2333367241879</v>
      </c>
      <c r="J36" s="2">
        <f t="shared" si="4"/>
        <v>-35.145269644210892</v>
      </c>
      <c r="K36" s="2">
        <f t="shared" si="5"/>
        <v>393.99431610974074</v>
      </c>
      <c r="L36" s="2">
        <f t="shared" si="6"/>
        <v>-29.021313131486529</v>
      </c>
      <c r="M36" s="2">
        <f t="shared" si="7"/>
        <v>344.57318617864291</v>
      </c>
      <c r="N36" s="2">
        <f t="shared" si="8"/>
        <v>-191.05193140473776</v>
      </c>
      <c r="O36" s="2">
        <f t="shared" si="9"/>
        <v>361.04802836668932</v>
      </c>
      <c r="P36" s="2">
        <f t="shared" si="10"/>
        <v>-220.00959764466407</v>
      </c>
    </row>
    <row r="37" spans="1:16" x14ac:dyDescent="0.3">
      <c r="A37" s="4">
        <v>35</v>
      </c>
      <c r="B37" s="4">
        <v>-1721</v>
      </c>
      <c r="C37" s="4">
        <v>3408</v>
      </c>
      <c r="D37" s="6">
        <f t="shared" si="0"/>
        <v>3817.8927433860686</v>
      </c>
      <c r="E37" s="2">
        <f t="shared" si="1"/>
        <v>0.2182704935273416</v>
      </c>
      <c r="F37" s="2">
        <f t="shared" si="2"/>
        <v>-63.238819594692103</v>
      </c>
      <c r="G37">
        <v>-1492</v>
      </c>
      <c r="H37">
        <v>995</v>
      </c>
      <c r="I37" s="2">
        <f t="shared" si="3"/>
        <v>1793.3457558429718</v>
      </c>
      <c r="J37" s="2">
        <f t="shared" si="4"/>
        <v>-33.716021197380698</v>
      </c>
      <c r="K37" s="2">
        <f t="shared" si="5"/>
        <v>391.43446319300892</v>
      </c>
      <c r="L37" s="2">
        <f t="shared" si="6"/>
        <v>-29.522798397311405</v>
      </c>
      <c r="M37" s="2">
        <f t="shared" si="7"/>
        <v>340.66086478477689</v>
      </c>
      <c r="N37" s="2">
        <f t="shared" si="8"/>
        <v>-192.79811767568435</v>
      </c>
      <c r="O37" s="2">
        <f t="shared" si="9"/>
        <v>356.39651919051175</v>
      </c>
      <c r="P37" s="2">
        <f t="shared" si="10"/>
        <v>-221.6415539747604</v>
      </c>
    </row>
    <row r="38" spans="1:16" x14ac:dyDescent="0.3">
      <c r="A38" s="4">
        <v>36</v>
      </c>
      <c r="B38" s="4">
        <v>-1759</v>
      </c>
      <c r="C38" s="4">
        <v>3387</v>
      </c>
      <c r="D38" s="6">
        <f t="shared" si="0"/>
        <v>3816.5232869720576</v>
      </c>
      <c r="E38" s="2">
        <f t="shared" si="1"/>
        <v>0.21834881400513634</v>
      </c>
      <c r="F38" s="2">
        <f t="shared" si="2"/>
        <v>-62.587132827193841</v>
      </c>
      <c r="G38">
        <v>-1494</v>
      </c>
      <c r="H38">
        <v>965</v>
      </c>
      <c r="I38" s="2">
        <f t="shared" si="3"/>
        <v>1778.5558748602755</v>
      </c>
      <c r="J38" s="2">
        <f t="shared" si="4"/>
        <v>-32.875771275473433</v>
      </c>
      <c r="K38" s="2">
        <f t="shared" si="5"/>
        <v>388.34556591760884</v>
      </c>
      <c r="L38" s="2">
        <f t="shared" si="6"/>
        <v>-29.711361551720408</v>
      </c>
      <c r="M38" s="2">
        <f t="shared" si="7"/>
        <v>337.34162441601427</v>
      </c>
      <c r="N38" s="2">
        <f t="shared" si="8"/>
        <v>-192.38738785126392</v>
      </c>
      <c r="O38" s="2">
        <f t="shared" si="9"/>
        <v>352.63532910122103</v>
      </c>
      <c r="P38" s="2">
        <f t="shared" si="10"/>
        <v>-220.85674011173879</v>
      </c>
    </row>
    <row r="39" spans="1:16" x14ac:dyDescent="0.3">
      <c r="A39" s="4">
        <v>37</v>
      </c>
      <c r="B39" s="4">
        <v>-1805</v>
      </c>
      <c r="C39" s="4">
        <v>3359</v>
      </c>
      <c r="D39" s="6">
        <f t="shared" si="0"/>
        <v>3813.2539910160717</v>
      </c>
      <c r="E39" s="2">
        <f t="shared" si="1"/>
        <v>0.21853601551238006</v>
      </c>
      <c r="F39" s="2">
        <f t="shared" si="2"/>
        <v>-61.77941099262916</v>
      </c>
      <c r="G39">
        <v>-1506</v>
      </c>
      <c r="H39">
        <v>920</v>
      </c>
      <c r="I39" s="2">
        <f t="shared" si="3"/>
        <v>1764.7764730979388</v>
      </c>
      <c r="J39" s="2">
        <f t="shared" si="4"/>
        <v>-31.436268158943768</v>
      </c>
      <c r="K39" s="2">
        <f t="shared" si="5"/>
        <v>385.66721870081454</v>
      </c>
      <c r="L39" s="2">
        <f t="shared" si="6"/>
        <v>-30.343142833685391</v>
      </c>
      <c r="M39" s="2">
        <f t="shared" si="7"/>
        <v>332.8890464826149</v>
      </c>
      <c r="N39" s="2">
        <f t="shared" si="8"/>
        <v>-194.74107505176548</v>
      </c>
      <c r="O39" s="2">
        <f t="shared" si="9"/>
        <v>347.32276263231051</v>
      </c>
      <c r="P39" s="2">
        <f t="shared" si="10"/>
        <v>-223.12376839016017</v>
      </c>
    </row>
    <row r="40" spans="1:16" x14ac:dyDescent="0.3">
      <c r="A40" s="4">
        <v>38</v>
      </c>
      <c r="B40" s="4">
        <v>-1855</v>
      </c>
      <c r="C40" s="4">
        <v>3337</v>
      </c>
      <c r="D40" s="6">
        <f t="shared" si="0"/>
        <v>3817.9305913020471</v>
      </c>
      <c r="E40" s="2">
        <f t="shared" si="1"/>
        <v>0.21826832976791696</v>
      </c>
      <c r="F40" s="2">
        <f t="shared" si="2"/>
        <v>-60.961724786082648</v>
      </c>
      <c r="G40">
        <v>-1501</v>
      </c>
      <c r="H40">
        <v>885</v>
      </c>
      <c r="I40" s="2">
        <f t="shared" si="3"/>
        <v>1742.4769725881602</v>
      </c>
      <c r="J40" s="2">
        <f t="shared" si="4"/>
        <v>-30.539378163366766</v>
      </c>
      <c r="K40" s="2">
        <f t="shared" si="5"/>
        <v>380.32753846587417</v>
      </c>
      <c r="L40" s="2">
        <f t="shared" si="6"/>
        <v>-30.422346622715882</v>
      </c>
      <c r="M40" s="2">
        <f t="shared" si="7"/>
        <v>328.0144410507238</v>
      </c>
      <c r="N40" s="2">
        <f t="shared" si="8"/>
        <v>-192.49821551820222</v>
      </c>
      <c r="O40" s="2">
        <f t="shared" si="9"/>
        <v>341.97508571936032</v>
      </c>
      <c r="P40" s="2">
        <f t="shared" si="10"/>
        <v>-220.10356375650701</v>
      </c>
    </row>
    <row r="41" spans="1:16" x14ac:dyDescent="0.3">
      <c r="A41" s="4">
        <v>39</v>
      </c>
      <c r="B41" s="4">
        <v>-1901</v>
      </c>
      <c r="C41" s="4">
        <v>3312</v>
      </c>
      <c r="D41" s="6">
        <f t="shared" si="0"/>
        <v>3818.7884204286574</v>
      </c>
      <c r="E41" s="2">
        <f t="shared" si="1"/>
        <v>0.21821929931373157</v>
      </c>
      <c r="F41" s="2">
        <f t="shared" si="2"/>
        <v>-60.175827736973787</v>
      </c>
      <c r="G41">
        <v>-1515</v>
      </c>
      <c r="H41">
        <v>842</v>
      </c>
      <c r="I41" s="2">
        <f t="shared" si="3"/>
        <v>1733.2596458695969</v>
      </c>
      <c r="J41" s="2">
        <f t="shared" si="4"/>
        <v>-29.078978142524861</v>
      </c>
      <c r="K41" s="2">
        <f t="shared" si="5"/>
        <v>378.23070545042992</v>
      </c>
      <c r="L41" s="2">
        <f t="shared" si="6"/>
        <v>-31.096849594448926</v>
      </c>
      <c r="M41" s="2">
        <f t="shared" si="7"/>
        <v>323.93098333727056</v>
      </c>
      <c r="N41" s="2">
        <f t="shared" si="8"/>
        <v>-195.26183595285286</v>
      </c>
      <c r="O41" s="2">
        <f t="shared" si="9"/>
        <v>337.06478166585202</v>
      </c>
      <c r="P41" s="2">
        <f t="shared" si="10"/>
        <v>-222.86349156821083</v>
      </c>
    </row>
    <row r="42" spans="1:16" x14ac:dyDescent="0.3">
      <c r="A42" s="4">
        <v>40</v>
      </c>
      <c r="B42" s="4">
        <v>-1942</v>
      </c>
      <c r="C42" s="4">
        <v>3289</v>
      </c>
      <c r="D42" s="6">
        <f t="shared" si="0"/>
        <v>3819.5398937568384</v>
      </c>
      <c r="E42" s="2">
        <f t="shared" si="1"/>
        <v>0.21817636587470748</v>
      </c>
      <c r="F42" s="2">
        <f t="shared" si="2"/>
        <v>-59.470293785747167</v>
      </c>
      <c r="G42">
        <v>-1515</v>
      </c>
      <c r="H42">
        <v>804</v>
      </c>
      <c r="I42" s="2">
        <f t="shared" si="3"/>
        <v>1715.1212785106482</v>
      </c>
      <c r="J42" s="2">
        <f t="shared" si="4"/>
        <v>-27.968761391809078</v>
      </c>
      <c r="K42" s="2">
        <f t="shared" si="5"/>
        <v>374.19892757983524</v>
      </c>
      <c r="L42" s="2">
        <f t="shared" si="6"/>
        <v>-31.501532393938088</v>
      </c>
      <c r="M42" s="2">
        <f t="shared" si="7"/>
        <v>319.10629222178392</v>
      </c>
      <c r="N42" s="2">
        <f t="shared" si="8"/>
        <v>-195.43799954554441</v>
      </c>
      <c r="O42" s="2">
        <f t="shared" si="9"/>
        <v>331.56616457111704</v>
      </c>
      <c r="P42" s="2">
        <f t="shared" si="10"/>
        <v>-222.60506020827174</v>
      </c>
    </row>
    <row r="43" spans="1:16" x14ac:dyDescent="0.3">
      <c r="A43" s="4">
        <v>41</v>
      </c>
      <c r="B43" s="4">
        <v>-1991</v>
      </c>
      <c r="C43" s="4">
        <v>3262</v>
      </c>
      <c r="D43" s="6">
        <f t="shared" si="0"/>
        <v>3821.6128794005285</v>
      </c>
      <c r="E43" s="2">
        <f t="shared" si="1"/>
        <v>0.21805801886036477</v>
      </c>
      <c r="F43" s="2">
        <f t="shared" si="2"/>
        <v>-58.631429515428209</v>
      </c>
      <c r="G43">
        <v>-1522</v>
      </c>
      <c r="H43">
        <v>765</v>
      </c>
      <c r="I43" s="2">
        <f t="shared" si="3"/>
        <v>1703.4403423660015</v>
      </c>
      <c r="J43" s="2">
        <f t="shared" si="4"/>
        <v>-26.698923900128932</v>
      </c>
      <c r="K43" s="2">
        <f t="shared" si="5"/>
        <v>371.44882630315175</v>
      </c>
      <c r="L43" s="2">
        <f t="shared" si="6"/>
        <v>-31.932505615299277</v>
      </c>
      <c r="M43" s="2">
        <f t="shared" si="7"/>
        <v>315.29362358186603</v>
      </c>
      <c r="N43" s="2">
        <f t="shared" si="8"/>
        <v>-196.37759925868733</v>
      </c>
      <c r="O43" s="2">
        <f t="shared" si="9"/>
        <v>327.15292274939202</v>
      </c>
      <c r="P43" s="2">
        <f t="shared" si="10"/>
        <v>-223.30823274633599</v>
      </c>
    </row>
    <row r="44" spans="1:16" x14ac:dyDescent="0.3">
      <c r="A44" s="4">
        <v>42</v>
      </c>
      <c r="B44" s="4">
        <v>-2038</v>
      </c>
      <c r="C44" s="4">
        <v>3235</v>
      </c>
      <c r="D44" s="6">
        <f t="shared" si="0"/>
        <v>3823.4368047608687</v>
      </c>
      <c r="E44" s="2">
        <f t="shared" si="1"/>
        <v>0.21795399685845024</v>
      </c>
      <c r="F44" s="2">
        <f t="shared" si="2"/>
        <v>-57.819018005916966</v>
      </c>
      <c r="G44">
        <v>-1525</v>
      </c>
      <c r="H44">
        <v>726</v>
      </c>
      <c r="I44" s="2">
        <f t="shared" si="3"/>
        <v>1688.9940793265084</v>
      </c>
      <c r="J44" s="2">
        <f t="shared" si="4"/>
        <v>-25.470423623026964</v>
      </c>
      <c r="K44" s="2">
        <f t="shared" si="5"/>
        <v>368.12301025947085</v>
      </c>
      <c r="L44" s="2">
        <f t="shared" si="6"/>
        <v>-32.348594382889999</v>
      </c>
      <c r="M44" s="2">
        <f t="shared" si="7"/>
        <v>311.0497496956346</v>
      </c>
      <c r="N44" s="2">
        <f t="shared" si="8"/>
        <v>-196.88220817731988</v>
      </c>
      <c r="O44" s="2">
        <f t="shared" si="9"/>
        <v>322.30036288564224</v>
      </c>
      <c r="P44" s="2">
        <f t="shared" si="10"/>
        <v>-223.47565917549622</v>
      </c>
    </row>
    <row r="45" spans="1:16" x14ac:dyDescent="0.3">
      <c r="A45" s="4">
        <v>43</v>
      </c>
      <c r="B45" s="4">
        <v>-2082</v>
      </c>
      <c r="C45" s="4">
        <v>3205</v>
      </c>
      <c r="D45" s="6">
        <f t="shared" si="0"/>
        <v>3821.8776798845879</v>
      </c>
      <c r="E45" s="2">
        <f t="shared" si="1"/>
        <v>0.21804291061416131</v>
      </c>
      <c r="F45" s="2">
        <f t="shared" si="2"/>
        <v>-57.020751472177601</v>
      </c>
      <c r="G45">
        <v>-1529</v>
      </c>
      <c r="H45">
        <v>689</v>
      </c>
      <c r="I45" s="2">
        <f t="shared" si="3"/>
        <v>1677.0694678515854</v>
      </c>
      <c r="J45" s="2">
        <f t="shared" si="4"/>
        <v>-24.269646333021051</v>
      </c>
      <c r="K45" s="2">
        <f t="shared" si="5"/>
        <v>365.67310807250232</v>
      </c>
      <c r="L45" s="2">
        <f t="shared" si="6"/>
        <v>-32.75110513915655</v>
      </c>
      <c r="M45" s="2">
        <f t="shared" si="7"/>
        <v>307.59884808499595</v>
      </c>
      <c r="N45" s="2">
        <f t="shared" si="8"/>
        <v>-197.73661933032926</v>
      </c>
      <c r="O45" s="2">
        <f t="shared" si="9"/>
        <v>318.31868557377402</v>
      </c>
      <c r="P45" s="2">
        <f t="shared" si="10"/>
        <v>-224.11262877162616</v>
      </c>
    </row>
    <row r="46" spans="1:16" x14ac:dyDescent="0.3">
      <c r="A46" s="4">
        <v>44</v>
      </c>
      <c r="B46" s="4">
        <v>-2121</v>
      </c>
      <c r="C46" s="4">
        <v>3183</v>
      </c>
      <c r="D46" s="6">
        <f t="shared" si="0"/>
        <v>3824.9352935703369</v>
      </c>
      <c r="E46" s="2">
        <f t="shared" si="1"/>
        <v>0.21786860936815197</v>
      </c>
      <c r="F46" s="2">
        <f t="shared" si="2"/>
        <v>-56.350963743690194</v>
      </c>
      <c r="G46">
        <v>-1524</v>
      </c>
      <c r="H46">
        <v>654</v>
      </c>
      <c r="I46" s="2">
        <f t="shared" si="3"/>
        <v>1658.4004341533441</v>
      </c>
      <c r="J46" s="2">
        <f t="shared" si="4"/>
        <v>-23.237589876980383</v>
      </c>
      <c r="K46" s="2">
        <f t="shared" si="5"/>
        <v>361.31339636452856</v>
      </c>
      <c r="L46" s="2">
        <f t="shared" si="6"/>
        <v>-33.113373866709807</v>
      </c>
      <c r="M46" s="2">
        <f t="shared" si="7"/>
        <v>302.69074847591929</v>
      </c>
      <c r="N46" s="2">
        <f t="shared" si="8"/>
        <v>-197.29592286603057</v>
      </c>
      <c r="O46" s="2">
        <f t="shared" si="9"/>
        <v>312.82322258742079</v>
      </c>
      <c r="P46" s="2">
        <f t="shared" si="10"/>
        <v>-223.14868036086131</v>
      </c>
    </row>
    <row r="47" spans="1:16" x14ac:dyDescent="0.3">
      <c r="A47" s="4">
        <v>45</v>
      </c>
      <c r="B47" s="4">
        <v>-2170</v>
      </c>
      <c r="C47" s="4">
        <v>3157</v>
      </c>
      <c r="D47" s="6">
        <f t="shared" si="0"/>
        <v>3830.8679173263072</v>
      </c>
      <c r="E47" s="2">
        <f t="shared" si="1"/>
        <v>0.21753120998098649</v>
      </c>
      <c r="F47" s="2">
        <f t="shared" si="2"/>
        <v>-55.525017866527001</v>
      </c>
      <c r="G47">
        <v>-1525</v>
      </c>
      <c r="H47">
        <v>621</v>
      </c>
      <c r="I47" s="2">
        <f t="shared" si="3"/>
        <v>1646.5922385338758</v>
      </c>
      <c r="J47" s="2">
        <f t="shared" si="4"/>
        <v>-22.168035968596829</v>
      </c>
      <c r="K47" s="2">
        <f t="shared" si="5"/>
        <v>358.18520199357516</v>
      </c>
      <c r="L47" s="2">
        <f t="shared" si="6"/>
        <v>-33.356981897930169</v>
      </c>
      <c r="M47" s="2">
        <f t="shared" si="7"/>
        <v>299.23622164549579</v>
      </c>
      <c r="N47" s="2">
        <f t="shared" si="8"/>
        <v>-196.86117591466822</v>
      </c>
      <c r="O47" s="2">
        <f t="shared" si="9"/>
        <v>308.97373546418657</v>
      </c>
      <c r="P47" s="2">
        <f t="shared" si="10"/>
        <v>-222.33212765892591</v>
      </c>
    </row>
    <row r="48" spans="1:16" x14ac:dyDescent="0.3">
      <c r="A48" s="4">
        <v>46</v>
      </c>
      <c r="B48" s="4">
        <v>-2216</v>
      </c>
      <c r="C48" s="4">
        <v>3140</v>
      </c>
      <c r="D48" s="6">
        <f t="shared" si="0"/>
        <v>3843.2090757594751</v>
      </c>
      <c r="E48" s="2">
        <f t="shared" si="1"/>
        <v>0.21683268250730137</v>
      </c>
      <c r="F48" s="2">
        <f t="shared" si="2"/>
        <v>-54.815927955171112</v>
      </c>
      <c r="G48">
        <v>-1530</v>
      </c>
      <c r="H48">
        <v>589</v>
      </c>
      <c r="I48" s="2">
        <f t="shared" si="3"/>
        <v>1639.4575322343669</v>
      </c>
      <c r="J48" s="2">
        <f t="shared" si="4"/>
        <v>-21.065754311999523</v>
      </c>
      <c r="K48" s="2">
        <f t="shared" si="5"/>
        <v>355.48797457117826</v>
      </c>
      <c r="L48" s="2">
        <f t="shared" si="6"/>
        <v>-33.750173643171593</v>
      </c>
      <c r="M48" s="2">
        <f t="shared" si="7"/>
        <v>295.63581475274816</v>
      </c>
      <c r="N48" s="2">
        <f t="shared" si="8"/>
        <v>-197.41115748659561</v>
      </c>
      <c r="O48" s="2">
        <f t="shared" si="9"/>
        <v>304.87292452383645</v>
      </c>
      <c r="P48" s="2">
        <f t="shared" si="10"/>
        <v>-222.61055120555281</v>
      </c>
    </row>
    <row r="49" spans="1:16" x14ac:dyDescent="0.3">
      <c r="A49" s="4">
        <v>47</v>
      </c>
      <c r="B49" s="4">
        <v>-2254</v>
      </c>
      <c r="C49" s="4">
        <v>3098</v>
      </c>
      <c r="D49" s="6">
        <f t="shared" si="0"/>
        <v>3831.2034662753163</v>
      </c>
      <c r="E49" s="2">
        <f t="shared" si="1"/>
        <v>0.21751215790778591</v>
      </c>
      <c r="F49" s="2">
        <f t="shared" si="2"/>
        <v>-53.989001577831978</v>
      </c>
      <c r="G49">
        <v>-1535</v>
      </c>
      <c r="H49">
        <v>547</v>
      </c>
      <c r="I49" s="2">
        <f t="shared" si="3"/>
        <v>1629.5502446994385</v>
      </c>
      <c r="J49" s="2">
        <f t="shared" si="4"/>
        <v>-19.623564811142689</v>
      </c>
      <c r="K49" s="2">
        <f t="shared" si="5"/>
        <v>354.44699014373543</v>
      </c>
      <c r="L49" s="2">
        <f t="shared" si="6"/>
        <v>-34.365436766689285</v>
      </c>
      <c r="M49" s="2">
        <f t="shared" si="7"/>
        <v>292.64056523133303</v>
      </c>
      <c r="N49" s="2">
        <f t="shared" si="8"/>
        <v>-199.98542047619176</v>
      </c>
      <c r="O49" s="2">
        <f t="shared" si="9"/>
        <v>301.26502971027276</v>
      </c>
      <c r="P49" s="2">
        <f t="shared" si="10"/>
        <v>-225.21664867820743</v>
      </c>
    </row>
    <row r="50" spans="1:16" x14ac:dyDescent="0.3">
      <c r="A50" s="4">
        <v>48</v>
      </c>
      <c r="B50" s="4">
        <v>-2295</v>
      </c>
      <c r="C50" s="4">
        <v>3068</v>
      </c>
      <c r="D50" s="6">
        <f t="shared" si="0"/>
        <v>3831.4030067326512</v>
      </c>
      <c r="E50" s="2">
        <f t="shared" si="1"/>
        <v>0.21750082981847019</v>
      </c>
      <c r="F50" s="2">
        <f t="shared" si="2"/>
        <v>-53.228867566762773</v>
      </c>
      <c r="G50">
        <v>-1521</v>
      </c>
      <c r="H50">
        <v>517</v>
      </c>
      <c r="I50" s="2">
        <f t="shared" si="3"/>
        <v>1606.465063423416</v>
      </c>
      <c r="J50" s="2">
        <f t="shared" si="4"/>
        <v>-18.78282788545549</v>
      </c>
      <c r="K50" s="2">
        <f t="shared" si="5"/>
        <v>349.40748436897434</v>
      </c>
      <c r="L50" s="2">
        <f t="shared" si="6"/>
        <v>-34.446039681307283</v>
      </c>
      <c r="M50" s="2">
        <f t="shared" si="7"/>
        <v>288.20233826208425</v>
      </c>
      <c r="N50" s="2">
        <f t="shared" si="8"/>
        <v>-197.54746860773037</v>
      </c>
      <c r="O50" s="2">
        <f t="shared" si="9"/>
        <v>296.52032644312112</v>
      </c>
      <c r="P50" s="2">
        <f t="shared" si="10"/>
        <v>-222.06263045096509</v>
      </c>
    </row>
    <row r="51" spans="1:16" x14ac:dyDescent="0.3">
      <c r="A51" s="4">
        <v>49</v>
      </c>
      <c r="B51" s="4">
        <v>-2339</v>
      </c>
      <c r="C51" s="4">
        <v>3038</v>
      </c>
      <c r="D51" s="6">
        <f t="shared" si="0"/>
        <v>3834.105501939142</v>
      </c>
      <c r="E51" s="2">
        <f t="shared" si="1"/>
        <v>0.21734752288685474</v>
      </c>
      <c r="F51" s="2">
        <f t="shared" si="2"/>
        <v>-52.433388835788847</v>
      </c>
      <c r="G51">
        <v>-1522</v>
      </c>
      <c r="H51">
        <v>483</v>
      </c>
      <c r="I51" s="2">
        <f t="shared" si="3"/>
        <v>1596.800864228223</v>
      </c>
      <c r="J51" s="2">
        <f t="shared" si="4"/>
        <v>-17.615536805478378</v>
      </c>
      <c r="K51" s="2">
        <f t="shared" si="5"/>
        <v>347.06071238359311</v>
      </c>
      <c r="L51" s="2">
        <f t="shared" si="6"/>
        <v>-34.817852030310469</v>
      </c>
      <c r="M51" s="2">
        <f t="shared" si="7"/>
        <v>284.98793510682668</v>
      </c>
      <c r="N51" s="2">
        <f t="shared" si="8"/>
        <v>-198.07325645769114</v>
      </c>
      <c r="O51" s="2">
        <f t="shared" si="9"/>
        <v>292.87270886657188</v>
      </c>
      <c r="P51" s="2">
        <f t="shared" si="10"/>
        <v>-222.34864280988765</v>
      </c>
    </row>
    <row r="52" spans="1:16" x14ac:dyDescent="0.3">
      <c r="A52" s="4">
        <v>50</v>
      </c>
      <c r="B52" s="4">
        <v>-2381</v>
      </c>
      <c r="C52" s="4">
        <v>3009</v>
      </c>
      <c r="D52" s="6">
        <f t="shared" si="0"/>
        <v>3837.0876977207595</v>
      </c>
      <c r="E52" s="2">
        <f t="shared" si="1"/>
        <v>0.21717859975635576</v>
      </c>
      <c r="F52" s="2">
        <f t="shared" si="2"/>
        <v>-51.67188093930136</v>
      </c>
      <c r="G52">
        <v>-1518</v>
      </c>
      <c r="H52">
        <v>449</v>
      </c>
      <c r="I52" s="2">
        <f t="shared" si="3"/>
        <v>1583.01137077407</v>
      </c>
      <c r="J52" s="2">
        <f t="shared" si="4"/>
        <v>-16.485727797749224</v>
      </c>
      <c r="K52" s="2">
        <f t="shared" si="5"/>
        <v>343.79619290310183</v>
      </c>
      <c r="L52" s="2">
        <f t="shared" si="6"/>
        <v>-35.18615314155214</v>
      </c>
      <c r="M52" s="2">
        <f t="shared" si="7"/>
        <v>281.04085363807786</v>
      </c>
      <c r="N52" s="2">
        <f t="shared" si="8"/>
        <v>-198.01984961373773</v>
      </c>
      <c r="O52" s="2">
        <f t="shared" si="9"/>
        <v>288.46618211002624</v>
      </c>
      <c r="P52" s="2">
        <f t="shared" si="10"/>
        <v>-221.91785213400703</v>
      </c>
    </row>
    <row r="53" spans="1:16" x14ac:dyDescent="0.3">
      <c r="A53" s="4">
        <v>51</v>
      </c>
      <c r="B53" s="4">
        <v>-2425</v>
      </c>
      <c r="C53" s="4">
        <v>2978</v>
      </c>
      <c r="D53" s="6">
        <f t="shared" si="0"/>
        <v>3840.4568738627959</v>
      </c>
      <c r="E53" s="2">
        <f t="shared" si="1"/>
        <v>0.21698807217568172</v>
      </c>
      <c r="F53" s="2">
        <f t="shared" si="2"/>
        <v>-50.869693573922127</v>
      </c>
      <c r="G53">
        <v>-1515</v>
      </c>
      <c r="H53">
        <v>419</v>
      </c>
      <c r="I53" s="2">
        <f t="shared" si="3"/>
        <v>1571.8734045717549</v>
      </c>
      <c r="J53" s="2">
        <f t="shared" si="4"/>
        <v>-15.467564177796515</v>
      </c>
      <c r="K53" s="2">
        <f t="shared" si="5"/>
        <v>341.07777976225049</v>
      </c>
      <c r="L53" s="2">
        <f t="shared" si="6"/>
        <v>-35.402129396125616</v>
      </c>
      <c r="M53" s="2">
        <f t="shared" si="7"/>
        <v>278.07651522090816</v>
      </c>
      <c r="N53" s="2">
        <f t="shared" si="8"/>
        <v>-197.50317346853515</v>
      </c>
      <c r="O53" s="2">
        <f t="shared" si="9"/>
        <v>285.2061951011292</v>
      </c>
      <c r="P53" s="2">
        <f t="shared" si="10"/>
        <v>-221.06351348826854</v>
      </c>
    </row>
    <row r="54" spans="1:16" x14ac:dyDescent="0.3">
      <c r="A54" s="4">
        <v>52</v>
      </c>
      <c r="B54" s="4">
        <v>-2466</v>
      </c>
      <c r="C54" s="4">
        <v>2946</v>
      </c>
      <c r="D54" s="6">
        <f t="shared" si="0"/>
        <v>3841.8839128739951</v>
      </c>
      <c r="E54" s="2">
        <f t="shared" si="1"/>
        <v>0.21690747358109067</v>
      </c>
      <c r="F54" s="2">
        <f t="shared" si="2"/>
        <v>-50.093799022399033</v>
      </c>
      <c r="G54">
        <v>-1514</v>
      </c>
      <c r="H54">
        <v>386</v>
      </c>
      <c r="I54" s="2">
        <f t="shared" si="3"/>
        <v>1562.4314384957825</v>
      </c>
      <c r="J54" s="2">
        <f t="shared" si="4"/>
        <v>-14.310319201970335</v>
      </c>
      <c r="K54" s="2">
        <f t="shared" si="5"/>
        <v>338.90305596778944</v>
      </c>
      <c r="L54" s="2">
        <f t="shared" si="6"/>
        <v>-35.783479820428695</v>
      </c>
      <c r="M54" s="2">
        <f t="shared" si="7"/>
        <v>274.99188350842735</v>
      </c>
      <c r="N54" s="2">
        <f t="shared" si="8"/>
        <v>-198.07762455359298</v>
      </c>
      <c r="O54" s="2">
        <f t="shared" si="9"/>
        <v>281.71422244496353</v>
      </c>
      <c r="P54" s="2">
        <f t="shared" si="10"/>
        <v>-221.41536711891311</v>
      </c>
    </row>
    <row r="55" spans="1:16" x14ac:dyDescent="0.3">
      <c r="A55" s="4">
        <v>53</v>
      </c>
      <c r="B55" s="4">
        <v>-2500</v>
      </c>
      <c r="C55" s="4">
        <v>2914</v>
      </c>
      <c r="D55" s="6">
        <f t="shared" si="0"/>
        <v>3839.4525651451927</v>
      </c>
      <c r="E55" s="2">
        <f t="shared" si="1"/>
        <v>0.21704483105179867</v>
      </c>
      <c r="F55" s="2">
        <f t="shared" si="2"/>
        <v>-49.397850100891119</v>
      </c>
      <c r="G55">
        <v>-1510</v>
      </c>
      <c r="H55">
        <v>348</v>
      </c>
      <c r="I55" s="2">
        <f t="shared" si="3"/>
        <v>1549.5818790886785</v>
      </c>
      <c r="J55" s="2">
        <f t="shared" si="4"/>
        <v>-12.984571058361995</v>
      </c>
      <c r="K55" s="2">
        <f t="shared" si="5"/>
        <v>336.32873714773092</v>
      </c>
      <c r="L55" s="2">
        <f t="shared" si="6"/>
        <v>-36.413279042529126</v>
      </c>
      <c r="M55" s="2">
        <f t="shared" si="7"/>
        <v>270.72696054928127</v>
      </c>
      <c r="N55" s="2">
        <f t="shared" si="8"/>
        <v>-199.55934521624226</v>
      </c>
      <c r="O55" s="2">
        <f t="shared" si="9"/>
        <v>276.82902601204478</v>
      </c>
      <c r="P55" s="2">
        <f t="shared" si="10"/>
        <v>-222.66435802389839</v>
      </c>
    </row>
    <row r="56" spans="1:16" x14ac:dyDescent="0.3">
      <c r="A56" s="4">
        <v>54</v>
      </c>
      <c r="B56" s="4">
        <v>-2546</v>
      </c>
      <c r="C56" s="4">
        <v>2879</v>
      </c>
      <c r="D56" s="6">
        <f t="shared" si="0"/>
        <v>3843.2742551111287</v>
      </c>
      <c r="E56" s="2">
        <f t="shared" si="1"/>
        <v>0.2168290051705502</v>
      </c>
      <c r="F56" s="2">
        <f t="shared" si="2"/>
        <v>-48.537156678835579</v>
      </c>
      <c r="G56">
        <v>-1504</v>
      </c>
      <c r="H56">
        <v>328</v>
      </c>
      <c r="I56" s="2">
        <f t="shared" si="3"/>
        <v>1539.3505123915086</v>
      </c>
      <c r="J56" s="2">
        <f t="shared" si="4"/>
        <v>-12.308966446658674</v>
      </c>
      <c r="K56" s="2">
        <f t="shared" si="5"/>
        <v>333.77584021062751</v>
      </c>
      <c r="L56" s="2">
        <f t="shared" si="6"/>
        <v>-36.228190232176907</v>
      </c>
      <c r="M56" s="2">
        <f t="shared" si="7"/>
        <v>269.31005183643146</v>
      </c>
      <c r="N56" s="2">
        <f t="shared" si="8"/>
        <v>-197.176082444522</v>
      </c>
      <c r="O56" s="2">
        <f t="shared" si="9"/>
        <v>275.476648206748</v>
      </c>
      <c r="P56" s="2">
        <f t="shared" si="10"/>
        <v>-219.88289867205611</v>
      </c>
    </row>
    <row r="57" spans="1:16" x14ac:dyDescent="0.3">
      <c r="A57" s="4">
        <v>55</v>
      </c>
      <c r="B57" s="4">
        <v>-2588</v>
      </c>
      <c r="C57" s="4">
        <v>2849</v>
      </c>
      <c r="D57" s="6">
        <f t="shared" si="0"/>
        <v>3848.9667444653246</v>
      </c>
      <c r="E57" s="2">
        <f t="shared" si="1"/>
        <v>0.21650832253399868</v>
      </c>
      <c r="F57" s="2">
        <f t="shared" si="2"/>
        <v>-47.772559165165504</v>
      </c>
      <c r="G57">
        <v>-1500</v>
      </c>
      <c r="H57">
        <v>295</v>
      </c>
      <c r="I57" s="2">
        <f t="shared" si="3"/>
        <v>1528.7331356387876</v>
      </c>
      <c r="J57" s="2">
        <f t="shared" si="4"/>
        <v>-11.131818348946416</v>
      </c>
      <c r="K57" s="2">
        <f t="shared" si="5"/>
        <v>330.9834467992938</v>
      </c>
      <c r="L57" s="2">
        <f t="shared" si="6"/>
        <v>-36.640740816219086</v>
      </c>
      <c r="M57" s="2">
        <f t="shared" si="7"/>
        <v>265.64293177189489</v>
      </c>
      <c r="N57" s="2">
        <f t="shared" si="8"/>
        <v>-197.44334593693793</v>
      </c>
      <c r="O57" s="2">
        <f t="shared" si="9"/>
        <v>271.3797854129607</v>
      </c>
      <c r="P57" s="2">
        <f t="shared" si="10"/>
        <v>-219.83953629543316</v>
      </c>
    </row>
    <row r="58" spans="1:16" x14ac:dyDescent="0.3">
      <c r="A58" s="4">
        <v>56</v>
      </c>
      <c r="B58" s="4">
        <v>-2627</v>
      </c>
      <c r="C58" s="4">
        <v>2811</v>
      </c>
      <c r="D58" s="6">
        <f t="shared" si="0"/>
        <v>3847.4472056156924</v>
      </c>
      <c r="E58" s="2">
        <f t="shared" si="1"/>
        <v>0.21659383190937853</v>
      </c>
      <c r="F58" s="2">
        <f t="shared" si="2"/>
        <v>-46.961726488252843</v>
      </c>
      <c r="G58">
        <v>-1490</v>
      </c>
      <c r="H58">
        <v>264</v>
      </c>
      <c r="I58" s="2">
        <f t="shared" si="3"/>
        <v>1513.2071900437163</v>
      </c>
      <c r="J58" s="2">
        <f t="shared" si="4"/>
        <v>-10.052557064864834</v>
      </c>
      <c r="K58" s="2">
        <f t="shared" si="5"/>
        <v>327.75134376439172</v>
      </c>
      <c r="L58" s="2">
        <f t="shared" si="6"/>
        <v>-36.909169423388008</v>
      </c>
      <c r="M58" s="2">
        <f t="shared" si="7"/>
        <v>262.13049063750117</v>
      </c>
      <c r="N58" s="2">
        <f t="shared" si="8"/>
        <v>-196.74488358660662</v>
      </c>
      <c r="O58" s="2">
        <f t="shared" si="9"/>
        <v>267.54987563663326</v>
      </c>
      <c r="P58" s="2">
        <f t="shared" si="10"/>
        <v>-218.74040325948548</v>
      </c>
    </row>
    <row r="59" spans="1:16" x14ac:dyDescent="0.3">
      <c r="A59" s="4">
        <v>57</v>
      </c>
      <c r="B59" s="4">
        <v>-2673</v>
      </c>
      <c r="C59" s="4">
        <v>2791</v>
      </c>
      <c r="D59" s="6">
        <f t="shared" si="0"/>
        <v>3864.5323132301532</v>
      </c>
      <c r="E59" s="2">
        <f t="shared" si="1"/>
        <v>0.21563627000359978</v>
      </c>
      <c r="F59" s="2">
        <f t="shared" si="2"/>
        <v>-46.260613803220508</v>
      </c>
      <c r="G59">
        <v>-1486</v>
      </c>
      <c r="H59">
        <v>235</v>
      </c>
      <c r="I59" s="2">
        <f t="shared" si="3"/>
        <v>1504.4670152582275</v>
      </c>
      <c r="J59" s="2">
        <f t="shared" si="4"/>
        <v>-8.9910438584772248</v>
      </c>
      <c r="K59" s="2">
        <f t="shared" si="5"/>
        <v>324.417655513733</v>
      </c>
      <c r="L59" s="2">
        <f t="shared" si="6"/>
        <v>-37.269569944743282</v>
      </c>
      <c r="M59" s="2">
        <f t="shared" si="7"/>
        <v>258.23478707065891</v>
      </c>
      <c r="N59" s="2">
        <f t="shared" si="8"/>
        <v>-196.37110264903689</v>
      </c>
      <c r="O59" s="2">
        <f t="shared" si="9"/>
        <v>263.27142058099344</v>
      </c>
      <c r="P59" s="2">
        <f t="shared" si="10"/>
        <v>-217.96828100692679</v>
      </c>
    </row>
    <row r="60" spans="1:16" x14ac:dyDescent="0.3">
      <c r="A60" s="4">
        <v>58</v>
      </c>
      <c r="B60" s="4">
        <v>-2709</v>
      </c>
      <c r="C60" s="4">
        <v>2744</v>
      </c>
      <c r="D60" s="6">
        <f t="shared" si="0"/>
        <v>3855.9327016948832</v>
      </c>
      <c r="E60" s="2">
        <f t="shared" si="1"/>
        <v>0.21611718818822745</v>
      </c>
      <c r="F60" s="2">
        <f t="shared" si="2"/>
        <v>-45.390758245018468</v>
      </c>
      <c r="G60">
        <v>-1484</v>
      </c>
      <c r="H60">
        <v>211</v>
      </c>
      <c r="I60" s="2">
        <f t="shared" si="3"/>
        <v>1498.9252816601634</v>
      </c>
      <c r="J60" s="2">
        <f t="shared" si="4"/>
        <v>-8.0963664670357627</v>
      </c>
      <c r="K60" s="2">
        <f t="shared" si="5"/>
        <v>323.94351717664136</v>
      </c>
      <c r="L60" s="2">
        <f t="shared" si="6"/>
        <v>-37.294391777982703</v>
      </c>
      <c r="M60" s="2">
        <f t="shared" si="7"/>
        <v>257.7724461962498</v>
      </c>
      <c r="N60" s="2">
        <f t="shared" si="8"/>
        <v>-196.19573976713775</v>
      </c>
      <c r="O60" s="2">
        <f t="shared" si="9"/>
        <v>262.77612030491946</v>
      </c>
      <c r="P60" s="2">
        <f t="shared" si="10"/>
        <v>-217.73190814596256</v>
      </c>
    </row>
    <row r="61" spans="1:16" x14ac:dyDescent="0.3">
      <c r="A61" s="4">
        <v>59</v>
      </c>
      <c r="B61" s="4">
        <v>-2744</v>
      </c>
      <c r="C61" s="4">
        <v>2708</v>
      </c>
      <c r="D61" s="6">
        <f t="shared" si="0"/>
        <v>3855.2302136188964</v>
      </c>
      <c r="E61" s="2">
        <f t="shared" si="1"/>
        <v>0.21615656839104433</v>
      </c>
      <c r="F61" s="2">
        <f t="shared" si="2"/>
        <v>-44.644309562477787</v>
      </c>
      <c r="G61">
        <v>-1472</v>
      </c>
      <c r="H61">
        <v>180</v>
      </c>
      <c r="I61" s="2">
        <f t="shared" si="3"/>
        <v>1482.9645983636967</v>
      </c>
      <c r="J61" s="2">
        <f t="shared" si="4"/>
        <v>-6.9752018126481374</v>
      </c>
      <c r="K61" s="2">
        <f t="shared" si="5"/>
        <v>320.55253862770002</v>
      </c>
      <c r="L61" s="2">
        <f t="shared" si="6"/>
        <v>-37.669107749829649</v>
      </c>
      <c r="M61" s="2">
        <f t="shared" si="7"/>
        <v>253.79964295646403</v>
      </c>
      <c r="N61" s="2">
        <f t="shared" si="8"/>
        <v>-195.80518699930931</v>
      </c>
      <c r="O61" s="2">
        <f t="shared" si="9"/>
        <v>258.4216304425363</v>
      </c>
      <c r="P61" s="2">
        <f t="shared" si="10"/>
        <v>-216.93695023683745</v>
      </c>
    </row>
    <row r="62" spans="1:16" x14ac:dyDescent="0.3">
      <c r="A62" s="4">
        <v>60</v>
      </c>
      <c r="B62" s="4">
        <v>-2785</v>
      </c>
      <c r="C62" s="4">
        <v>2674</v>
      </c>
      <c r="D62" s="6">
        <f t="shared" si="0"/>
        <v>3860.8938084334823</v>
      </c>
      <c r="E62" s="2">
        <f t="shared" si="1"/>
        <v>0.21583948553908811</v>
      </c>
      <c r="F62" s="2">
        <f t="shared" si="2"/>
        <v>-43.857376656749302</v>
      </c>
      <c r="G62">
        <v>-1467</v>
      </c>
      <c r="H62">
        <v>153</v>
      </c>
      <c r="I62" s="2">
        <f t="shared" si="3"/>
        <v>1474.9569485242612</v>
      </c>
      <c r="J62" s="2">
        <f t="shared" si="4"/>
        <v>-5.9571274409020489</v>
      </c>
      <c r="K62" s="2">
        <f t="shared" si="5"/>
        <v>318.35394896177979</v>
      </c>
      <c r="L62" s="2">
        <f t="shared" si="6"/>
        <v>-37.900249215847253</v>
      </c>
      <c r="M62" s="2">
        <f t="shared" si="7"/>
        <v>251.27275005717306</v>
      </c>
      <c r="N62" s="2">
        <f t="shared" si="8"/>
        <v>-195.47696001898774</v>
      </c>
      <c r="O62" s="2">
        <f t="shared" si="9"/>
        <v>255.66290120588928</v>
      </c>
      <c r="P62" s="2">
        <f t="shared" si="10"/>
        <v>-216.3444966911228</v>
      </c>
    </row>
    <row r="63" spans="1:16" x14ac:dyDescent="0.3">
      <c r="A63" s="4">
        <v>61</v>
      </c>
      <c r="B63" s="4">
        <v>-2823</v>
      </c>
      <c r="C63" s="4">
        <v>2640</v>
      </c>
      <c r="D63" s="6">
        <f t="shared" si="0"/>
        <v>3865.091072665688</v>
      </c>
      <c r="E63" s="2">
        <f t="shared" si="1"/>
        <v>0.21560509640426079</v>
      </c>
      <c r="F63" s="2">
        <f t="shared" si="2"/>
        <v>-43.103270443414729</v>
      </c>
      <c r="G63">
        <v>-1459</v>
      </c>
      <c r="H63">
        <v>122</v>
      </c>
      <c r="I63" s="2">
        <f t="shared" si="3"/>
        <v>1464.091868702234</v>
      </c>
      <c r="J63" s="2">
        <f t="shared" si="4"/>
        <v>-4.7823156325648126</v>
      </c>
      <c r="K63" s="2">
        <f t="shared" si="5"/>
        <v>315.6656684962395</v>
      </c>
      <c r="L63" s="2">
        <f t="shared" si="6"/>
        <v>-38.320954810849919</v>
      </c>
      <c r="M63" s="2">
        <f t="shared" si="7"/>
        <v>247.72174096282271</v>
      </c>
      <c r="N63" s="2">
        <f t="shared" si="8"/>
        <v>-195.64956764972914</v>
      </c>
      <c r="O63" s="2">
        <f t="shared" si="9"/>
        <v>251.73335075293016</v>
      </c>
      <c r="P63" s="2">
        <f t="shared" si="10"/>
        <v>-216.21195213738343</v>
      </c>
    </row>
    <row r="64" spans="1:16" x14ac:dyDescent="0.3">
      <c r="A64" s="4">
        <v>62</v>
      </c>
      <c r="B64" s="4">
        <v>-2859</v>
      </c>
      <c r="C64" s="4">
        <v>2602</v>
      </c>
      <c r="D64" s="6">
        <f t="shared" si="0"/>
        <v>3865.7838791117124</v>
      </c>
      <c r="E64" s="2">
        <f t="shared" si="1"/>
        <v>0.21556645673757074</v>
      </c>
      <c r="F64" s="2">
        <f t="shared" si="2"/>
        <v>-42.327050560607098</v>
      </c>
      <c r="G64">
        <v>-1462</v>
      </c>
      <c r="H64">
        <v>98</v>
      </c>
      <c r="I64" s="2">
        <f t="shared" si="3"/>
        <v>1465.2808604496272</v>
      </c>
      <c r="J64" s="2">
        <f t="shared" si="4"/>
        <v>-3.8368282873676498</v>
      </c>
      <c r="K64" s="2">
        <f t="shared" si="5"/>
        <v>315.86540321250499</v>
      </c>
      <c r="L64" s="2">
        <f t="shared" si="6"/>
        <v>-38.490222273239446</v>
      </c>
      <c r="M64" s="2">
        <f t="shared" si="7"/>
        <v>247.29932992221887</v>
      </c>
      <c r="N64" s="2">
        <f t="shared" si="8"/>
        <v>-196.50443854177922</v>
      </c>
      <c r="O64" s="2">
        <f t="shared" si="9"/>
        <v>251.1903626006133</v>
      </c>
      <c r="P64" s="2">
        <f t="shared" si="10"/>
        <v>-217.11491749846471</v>
      </c>
    </row>
    <row r="65" spans="1:16" x14ac:dyDescent="0.3">
      <c r="A65" s="4">
        <v>63</v>
      </c>
      <c r="B65" s="4">
        <v>-2895</v>
      </c>
      <c r="C65" s="4">
        <v>2562</v>
      </c>
      <c r="D65" s="6">
        <f t="shared" si="0"/>
        <v>3865.8594128602244</v>
      </c>
      <c r="E65" s="2">
        <f t="shared" si="1"/>
        <v>0.21556224485586686</v>
      </c>
      <c r="F65" s="2">
        <f t="shared" si="2"/>
        <v>-41.529049623789469</v>
      </c>
      <c r="G65">
        <v>-1441</v>
      </c>
      <c r="H65">
        <v>70</v>
      </c>
      <c r="I65" s="2">
        <f t="shared" si="3"/>
        <v>1442.6992063489881</v>
      </c>
      <c r="J65" s="2">
        <f t="shared" si="4"/>
        <v>-2.7825030853669745</v>
      </c>
      <c r="K65" s="2">
        <f t="shared" si="5"/>
        <v>310.99147957236539</v>
      </c>
      <c r="L65" s="2">
        <f t="shared" si="6"/>
        <v>-38.746546538422493</v>
      </c>
      <c r="M65" s="2">
        <f t="shared" si="7"/>
        <v>242.61587706121753</v>
      </c>
      <c r="N65" s="2">
        <f t="shared" si="8"/>
        <v>-194.55908245164281</v>
      </c>
      <c r="O65" s="2">
        <f t="shared" si="9"/>
        <v>246.21443760701914</v>
      </c>
      <c r="P65" s="2">
        <f t="shared" si="10"/>
        <v>-214.55040016715446</v>
      </c>
    </row>
    <row r="66" spans="1:16" x14ac:dyDescent="0.3">
      <c r="A66" s="4">
        <v>64</v>
      </c>
      <c r="B66" s="4">
        <v>-2930</v>
      </c>
      <c r="C66" s="4">
        <v>2523</v>
      </c>
      <c r="D66" s="6">
        <f t="shared" si="0"/>
        <v>3866.5784616376272</v>
      </c>
      <c r="E66" s="2">
        <f t="shared" si="1"/>
        <v>0.21552215779435868</v>
      </c>
      <c r="F66" s="2">
        <f t="shared" si="2"/>
        <v>-40.752142478163449</v>
      </c>
      <c r="G66">
        <v>-1437</v>
      </c>
      <c r="H66">
        <v>46</v>
      </c>
      <c r="I66" s="2">
        <f t="shared" si="3"/>
        <v>1437.7360675729046</v>
      </c>
      <c r="J66" s="2">
        <f t="shared" si="4"/>
        <v>-1.8344067680105616</v>
      </c>
      <c r="K66" s="2">
        <f t="shared" si="5"/>
        <v>309.86397962208827</v>
      </c>
      <c r="L66" s="2">
        <f t="shared" si="6"/>
        <v>-38.91773571015289</v>
      </c>
      <c r="M66" s="2">
        <f t="shared" si="7"/>
        <v>241.1562905653075</v>
      </c>
      <c r="N66" s="2">
        <f t="shared" si="8"/>
        <v>-194.57473985083192</v>
      </c>
      <c r="O66" s="2">
        <f t="shared" si="9"/>
        <v>244.60933171093711</v>
      </c>
      <c r="P66" s="2">
        <f t="shared" si="10"/>
        <v>-214.43622834550357</v>
      </c>
    </row>
    <row r="67" spans="1:16" x14ac:dyDescent="0.3">
      <c r="A67" s="4">
        <v>65</v>
      </c>
      <c r="B67" s="4">
        <v>-2968</v>
      </c>
      <c r="C67" s="4">
        <v>2487</v>
      </c>
      <c r="D67" s="6">
        <f t="shared" si="0"/>
        <v>3872.2335931604125</v>
      </c>
      <c r="E67" s="2">
        <f t="shared" si="1"/>
        <v>0.21520740246798728</v>
      </c>
      <c r="F67" s="2">
        <f t="shared" si="2"/>
        <v>-39.981189598789655</v>
      </c>
      <c r="G67">
        <v>-1427</v>
      </c>
      <c r="H67">
        <v>20</v>
      </c>
      <c r="I67" s="2">
        <f t="shared" si="3"/>
        <v>1427.1401472875746</v>
      </c>
      <c r="J67" s="2">
        <f t="shared" si="4"/>
        <v>-0.80337894506818675</v>
      </c>
      <c r="K67" s="2">
        <f t="shared" si="5"/>
        <v>307.13112405553971</v>
      </c>
      <c r="L67" s="2">
        <f t="shared" si="6"/>
        <v>-39.177810653721465</v>
      </c>
      <c r="M67" s="2">
        <f t="shared" si="7"/>
        <v>238.15197434544606</v>
      </c>
      <c r="N67" s="2">
        <f t="shared" si="8"/>
        <v>-193.94113663425128</v>
      </c>
      <c r="O67" s="2">
        <f t="shared" si="9"/>
        <v>241.36827517051097</v>
      </c>
      <c r="P67" s="2">
        <f t="shared" si="10"/>
        <v>-213.47109679451515</v>
      </c>
    </row>
    <row r="68" spans="1:16" x14ac:dyDescent="0.3">
      <c r="A68" s="4">
        <v>66</v>
      </c>
      <c r="B68" s="4">
        <v>-3003</v>
      </c>
      <c r="C68" s="4">
        <v>2447</v>
      </c>
      <c r="D68" s="6">
        <f t="shared" si="0"/>
        <v>3873.7343739600938</v>
      </c>
      <c r="E68" s="2">
        <f t="shared" si="1"/>
        <v>0.21512402578120554</v>
      </c>
      <c r="F68" s="2">
        <f t="shared" si="2"/>
        <v>-39.194802106462234</v>
      </c>
      <c r="G68">
        <v>-1425</v>
      </c>
      <c r="H68">
        <v>-6</v>
      </c>
      <c r="I68" s="2">
        <f t="shared" si="3"/>
        <v>1425.0126315229629</v>
      </c>
      <c r="J68" s="2">
        <f t="shared" si="4"/>
        <v>0.24136632423654486</v>
      </c>
      <c r="K68" s="2">
        <f t="shared" si="5"/>
        <v>306.55445408228945</v>
      </c>
      <c r="L68" s="2">
        <f t="shared" si="6"/>
        <v>-39.436168430698778</v>
      </c>
      <c r="M68" s="2">
        <f t="shared" si="7"/>
        <v>236.82997488040974</v>
      </c>
      <c r="N68" s="2">
        <f t="shared" si="8"/>
        <v>-194.64633650761326</v>
      </c>
      <c r="O68" s="2">
        <f t="shared" si="9"/>
        <v>239.85518552327358</v>
      </c>
      <c r="P68" s="2">
        <f t="shared" si="10"/>
        <v>-214.12601488373659</v>
      </c>
    </row>
    <row r="69" spans="1:16" x14ac:dyDescent="0.3">
      <c r="A69" s="4">
        <v>67</v>
      </c>
      <c r="B69" s="4">
        <v>-3042</v>
      </c>
      <c r="C69" s="4">
        <v>2412</v>
      </c>
      <c r="D69" s="6">
        <f t="shared" si="0"/>
        <v>3882.2040131863241</v>
      </c>
      <c r="E69" s="2">
        <f t="shared" si="1"/>
        <v>0.21465469885220534</v>
      </c>
      <c r="F69" s="2">
        <f t="shared" si="2"/>
        <v>-38.430360675891357</v>
      </c>
      <c r="G69">
        <v>-1405</v>
      </c>
      <c r="H69">
        <v>-26</v>
      </c>
      <c r="I69" s="2">
        <f t="shared" si="3"/>
        <v>1405.2405488029442</v>
      </c>
      <c r="J69" s="2">
        <f t="shared" si="4"/>
        <v>1.0606944922773176</v>
      </c>
      <c r="K69" s="2">
        <f t="shared" si="5"/>
        <v>301.64148681820376</v>
      </c>
      <c r="L69" s="2">
        <f t="shared" si="6"/>
        <v>-39.491055168168678</v>
      </c>
      <c r="M69" s="2">
        <f t="shared" si="7"/>
        <v>232.85095293715798</v>
      </c>
      <c r="N69" s="2">
        <f t="shared" si="8"/>
        <v>-191.74988992475079</v>
      </c>
      <c r="O69" s="2">
        <f t="shared" si="9"/>
        <v>235.75358873909863</v>
      </c>
      <c r="P69" s="2">
        <f t="shared" si="10"/>
        <v>-210.59865433248882</v>
      </c>
    </row>
    <row r="70" spans="1:16" x14ac:dyDescent="0.3">
      <c r="A70" s="4">
        <v>68</v>
      </c>
      <c r="B70" s="4">
        <v>-3074</v>
      </c>
      <c r="C70" s="4">
        <v>2367</v>
      </c>
      <c r="D70" s="6">
        <f t="shared" si="0"/>
        <v>3879.7119738454812</v>
      </c>
      <c r="E70" s="2">
        <f t="shared" si="1"/>
        <v>0.21479257711684008</v>
      </c>
      <c r="F70" s="2">
        <f t="shared" si="2"/>
        <v>-37.615574663685237</v>
      </c>
      <c r="G70">
        <v>-1396</v>
      </c>
      <c r="H70">
        <v>-55</v>
      </c>
      <c r="I70" s="2">
        <f t="shared" si="3"/>
        <v>1397.0830326075827</v>
      </c>
      <c r="J70" s="2">
        <f t="shared" si="4"/>
        <v>2.2573326940442731</v>
      </c>
      <c r="K70" s="2">
        <f t="shared" si="5"/>
        <v>300.083065019993</v>
      </c>
      <c r="L70" s="2">
        <f t="shared" si="6"/>
        <v>-39.87290735772951</v>
      </c>
      <c r="M70" s="2">
        <f t="shared" si="7"/>
        <v>230.37212033396301</v>
      </c>
      <c r="N70" s="2">
        <f t="shared" si="8"/>
        <v>-192.2980293311073</v>
      </c>
      <c r="O70" s="2">
        <f t="shared" si="9"/>
        <v>232.99294335951436</v>
      </c>
      <c r="P70" s="2">
        <f t="shared" si="10"/>
        <v>-210.97961012884821</v>
      </c>
    </row>
    <row r="71" spans="1:16" x14ac:dyDescent="0.3">
      <c r="A71" s="4">
        <v>69</v>
      </c>
      <c r="B71" s="4">
        <v>-3108</v>
      </c>
      <c r="C71" s="4">
        <v>2326</v>
      </c>
      <c r="D71" s="6">
        <f t="shared" si="0"/>
        <v>3882.0020607928586</v>
      </c>
      <c r="E71" s="2">
        <f t="shared" si="1"/>
        <v>0.21466586577832308</v>
      </c>
      <c r="F71" s="2">
        <f t="shared" si="2"/>
        <v>-36.829531287241736</v>
      </c>
      <c r="G71">
        <v>-1384</v>
      </c>
      <c r="H71">
        <v>-71</v>
      </c>
      <c r="I71" s="2">
        <f t="shared" si="3"/>
        <v>1385.8199738782812</v>
      </c>
      <c r="J71" s="2">
        <f t="shared" si="4"/>
        <v>2.9382217190699995</v>
      </c>
      <c r="K71" s="2">
        <f t="shared" si="5"/>
        <v>297.48824450547431</v>
      </c>
      <c r="L71" s="2">
        <f t="shared" si="6"/>
        <v>-39.767753006311736</v>
      </c>
      <c r="M71" s="2">
        <f t="shared" si="7"/>
        <v>228.7293999401015</v>
      </c>
      <c r="N71" s="2">
        <f t="shared" si="8"/>
        <v>-190.21597520184775</v>
      </c>
      <c r="O71" s="2">
        <f t="shared" si="9"/>
        <v>231.37981791419043</v>
      </c>
      <c r="P71" s="2">
        <f t="shared" si="10"/>
        <v>-208.55912337131332</v>
      </c>
    </row>
    <row r="72" spans="1:16" x14ac:dyDescent="0.3">
      <c r="A72" s="4">
        <v>70</v>
      </c>
      <c r="B72" s="4">
        <v>-3141</v>
      </c>
      <c r="C72" s="4">
        <v>2288</v>
      </c>
      <c r="D72" s="6">
        <f t="shared" ref="D72:D102" si="11">SQRT(B72*B72+C72*C72)</f>
        <v>3885.9779978790411</v>
      </c>
      <c r="E72" s="2">
        <f t="shared" ref="E72:E102" si="12">$B$3/D72</f>
        <v>0.21444623046969516</v>
      </c>
      <c r="F72" s="2">
        <f t="shared" ref="F72:F102" si="13">180*ATAN(C72/B72)/3.14</f>
        <v>-36.089029703022646</v>
      </c>
      <c r="G72">
        <v>-1376</v>
      </c>
      <c r="H72">
        <v>-95</v>
      </c>
      <c r="I72" s="2">
        <f t="shared" ref="I72:I102" si="14">SQRT(G72*G72+H72*H72)</f>
        <v>1379.2755344745299</v>
      </c>
      <c r="J72" s="2">
        <f t="shared" ref="J72:J102" si="15">180*ATAN(H72/G72)/3.14</f>
        <v>3.9514765680069592</v>
      </c>
      <c r="K72" s="2">
        <f t="shared" ref="K72:K102" si="16">I72*E72</f>
        <v>295.78043914713703</v>
      </c>
      <c r="L72" s="2">
        <f t="shared" ref="L72:L102" si="17">F72-J72</f>
        <v>-40.040506271029606</v>
      </c>
      <c r="M72" s="2">
        <f t="shared" ref="M72:M102" si="18">K72*COS(L72*3.14/180)</f>
        <v>226.51389355658824</v>
      </c>
      <c r="N72" s="2">
        <f t="shared" ref="N72:N102" si="19">K72*SIN(L72*3.14/180)</f>
        <v>-190.20390166320942</v>
      </c>
      <c r="O72" s="2">
        <f t="shared" ref="O72:O102" si="20">-$B$2-$B$2*$B$2*(M72-$B$2)/(M72*M72-2*M72*$B$2+$B$2*$B$2+N72*N72)</f>
        <v>228.96054326228841</v>
      </c>
      <c r="P72" s="2">
        <f t="shared" ref="P72:P102" si="21">$B$2*$B$2*N72/(M72*M72-2*M72*$B$2+$B$2*$B$2+N72*N72)</f>
        <v>-208.35269545017849</v>
      </c>
    </row>
    <row r="73" spans="1:16" x14ac:dyDescent="0.3">
      <c r="A73" s="4">
        <v>71</v>
      </c>
      <c r="B73" s="4">
        <v>-3179</v>
      </c>
      <c r="C73" s="4">
        <v>2244</v>
      </c>
      <c r="D73" s="6">
        <f t="shared" si="11"/>
        <v>3891.2179327300596</v>
      </c>
      <c r="E73" s="2">
        <f t="shared" si="12"/>
        <v>0.21415745603039785</v>
      </c>
      <c r="F73" s="2">
        <f t="shared" si="13"/>
        <v>-35.235455842671911</v>
      </c>
      <c r="G73">
        <v>-1368</v>
      </c>
      <c r="H73">
        <v>-119</v>
      </c>
      <c r="I73" s="2">
        <f t="shared" si="14"/>
        <v>1373.1660496822662</v>
      </c>
      <c r="J73" s="2">
        <f t="shared" si="15"/>
        <v>4.9740696932765465</v>
      </c>
      <c r="K73" s="2">
        <f t="shared" si="16"/>
        <v>294.07374790726504</v>
      </c>
      <c r="L73" s="2">
        <f t="shared" si="17"/>
        <v>-40.209525535948458</v>
      </c>
      <c r="M73" s="2">
        <f t="shared" si="18"/>
        <v>224.6483308838967</v>
      </c>
      <c r="N73" s="2">
        <f t="shared" si="19"/>
        <v>-189.76958828881126</v>
      </c>
      <c r="O73" s="2">
        <f t="shared" si="20"/>
        <v>226.96201051676053</v>
      </c>
      <c r="P73" s="2">
        <f t="shared" si="21"/>
        <v>-207.71631022529962</v>
      </c>
    </row>
    <row r="74" spans="1:16" x14ac:dyDescent="0.3">
      <c r="A74" s="4">
        <v>72</v>
      </c>
      <c r="B74" s="4">
        <v>-3209</v>
      </c>
      <c r="C74" s="4">
        <v>2204</v>
      </c>
      <c r="D74" s="6">
        <f t="shared" si="11"/>
        <v>3892.9804777316826</v>
      </c>
      <c r="E74" s="2">
        <f t="shared" si="12"/>
        <v>0.21406049634723329</v>
      </c>
      <c r="F74" s="2">
        <f t="shared" si="13"/>
        <v>-34.499482722071221</v>
      </c>
      <c r="G74">
        <v>-1354</v>
      </c>
      <c r="H74">
        <v>-139</v>
      </c>
      <c r="I74" s="2">
        <f t="shared" si="14"/>
        <v>1361.1160861587082</v>
      </c>
      <c r="J74" s="2">
        <f t="shared" si="15"/>
        <v>5.8643551572663855</v>
      </c>
      <c r="K74" s="2">
        <f t="shared" si="16"/>
        <v>291.36118498933661</v>
      </c>
      <c r="L74" s="2">
        <f t="shared" si="17"/>
        <v>-40.363837879337609</v>
      </c>
      <c r="M74" s="2">
        <f t="shared" si="18"/>
        <v>222.06922107828038</v>
      </c>
      <c r="N74" s="2">
        <f t="shared" si="19"/>
        <v>-188.61760566838996</v>
      </c>
      <c r="O74" s="2">
        <f t="shared" si="20"/>
        <v>224.24900156623426</v>
      </c>
      <c r="P74" s="2">
        <f t="shared" si="21"/>
        <v>-206.23683843182027</v>
      </c>
    </row>
    <row r="75" spans="1:16" x14ac:dyDescent="0.3">
      <c r="A75" s="4">
        <v>73</v>
      </c>
      <c r="B75" s="4">
        <v>-3242</v>
      </c>
      <c r="C75" s="4">
        <v>2161</v>
      </c>
      <c r="D75" s="6">
        <f t="shared" si="11"/>
        <v>3896.2141881575249</v>
      </c>
      <c r="E75" s="2">
        <f t="shared" si="12"/>
        <v>0.21388283423078627</v>
      </c>
      <c r="F75" s="2">
        <f t="shared" si="13"/>
        <v>-33.703074976668368</v>
      </c>
      <c r="G75">
        <v>-1344</v>
      </c>
      <c r="H75">
        <v>-162</v>
      </c>
      <c r="I75" s="2">
        <f t="shared" si="14"/>
        <v>1353.7281854198059</v>
      </c>
      <c r="J75" s="2">
        <f t="shared" si="15"/>
        <v>6.8765160389160069</v>
      </c>
      <c r="K75" s="2">
        <f t="shared" si="16"/>
        <v>289.53922107568746</v>
      </c>
      <c r="L75" s="2">
        <f t="shared" si="17"/>
        <v>-40.579591015584377</v>
      </c>
      <c r="M75" s="2">
        <f t="shared" si="18"/>
        <v>219.97353839485373</v>
      </c>
      <c r="N75" s="2">
        <f t="shared" si="19"/>
        <v>-188.26737090415759</v>
      </c>
      <c r="O75" s="2">
        <f t="shared" si="20"/>
        <v>221.99580473569222</v>
      </c>
      <c r="P75" s="2">
        <f t="shared" si="21"/>
        <v>-205.67489090844722</v>
      </c>
    </row>
    <row r="76" spans="1:16" x14ac:dyDescent="0.3">
      <c r="A76" s="4">
        <v>74</v>
      </c>
      <c r="B76" s="4">
        <v>-3272</v>
      </c>
      <c r="C76" s="4">
        <v>2115</v>
      </c>
      <c r="D76" s="6">
        <f t="shared" si="11"/>
        <v>3896.0504360185073</v>
      </c>
      <c r="E76" s="2">
        <f t="shared" si="12"/>
        <v>0.21389182378884758</v>
      </c>
      <c r="F76" s="2">
        <f t="shared" si="13"/>
        <v>-32.895046822079642</v>
      </c>
      <c r="G76">
        <v>-1334</v>
      </c>
      <c r="H76">
        <v>-184</v>
      </c>
      <c r="I76" s="2">
        <f t="shared" si="14"/>
        <v>1346.6298674840091</v>
      </c>
      <c r="J76" s="2">
        <f t="shared" si="15"/>
        <v>7.8572966165075719</v>
      </c>
      <c r="K76" s="2">
        <f t="shared" si="16"/>
        <v>288.03311832468881</v>
      </c>
      <c r="L76" s="2">
        <f t="shared" si="17"/>
        <v>-40.752343438587218</v>
      </c>
      <c r="M76" s="2">
        <f t="shared" si="18"/>
        <v>218.26389855580308</v>
      </c>
      <c r="N76" s="2">
        <f t="shared" si="19"/>
        <v>-187.946662218477</v>
      </c>
      <c r="O76" s="2">
        <f t="shared" si="20"/>
        <v>220.16204039070999</v>
      </c>
      <c r="P76" s="2">
        <f t="shared" si="21"/>
        <v>-205.17904186195253</v>
      </c>
    </row>
    <row r="77" spans="1:16" x14ac:dyDescent="0.3">
      <c r="A77" s="4">
        <v>75</v>
      </c>
      <c r="B77" s="4">
        <v>-3301</v>
      </c>
      <c r="C77" s="4">
        <v>2076</v>
      </c>
      <c r="D77" s="6">
        <f t="shared" si="11"/>
        <v>3899.5354851571747</v>
      </c>
      <c r="E77" s="2">
        <f t="shared" si="12"/>
        <v>0.21370066678589156</v>
      </c>
      <c r="F77" s="2">
        <f t="shared" si="13"/>
        <v>-32.182115965099946</v>
      </c>
      <c r="G77">
        <v>-1321</v>
      </c>
      <c r="H77">
        <v>-205</v>
      </c>
      <c r="I77" s="2">
        <f t="shared" si="14"/>
        <v>1336.8118790615231</v>
      </c>
      <c r="J77" s="2">
        <f t="shared" si="15"/>
        <v>8.8255839736997306</v>
      </c>
      <c r="K77" s="2">
        <f t="shared" si="16"/>
        <v>285.6775899227481</v>
      </c>
      <c r="L77" s="2">
        <f t="shared" si="17"/>
        <v>-41.007699938799675</v>
      </c>
      <c r="M77" s="2">
        <f t="shared" si="18"/>
        <v>215.64642474228631</v>
      </c>
      <c r="N77" s="2">
        <f t="shared" si="19"/>
        <v>-187.37210272593751</v>
      </c>
      <c r="O77" s="2">
        <f t="shared" si="20"/>
        <v>217.36401936440325</v>
      </c>
      <c r="P77" s="2">
        <f t="shared" si="21"/>
        <v>-204.33031372316549</v>
      </c>
    </row>
    <row r="78" spans="1:16" x14ac:dyDescent="0.3">
      <c r="A78" s="4">
        <v>76</v>
      </c>
      <c r="B78" s="4">
        <v>-3343</v>
      </c>
      <c r="C78" s="4">
        <v>2039</v>
      </c>
      <c r="D78" s="6">
        <f t="shared" si="11"/>
        <v>3915.7591856496997</v>
      </c>
      <c r="E78" s="2">
        <f t="shared" si="12"/>
        <v>0.21281526616531893</v>
      </c>
      <c r="F78" s="2">
        <f t="shared" si="13"/>
        <v>-31.396234569675826</v>
      </c>
      <c r="G78">
        <v>-1308</v>
      </c>
      <c r="H78">
        <v>-232</v>
      </c>
      <c r="I78" s="2">
        <f t="shared" si="14"/>
        <v>1328.4155976199618</v>
      </c>
      <c r="J78" s="2">
        <f t="shared" si="15"/>
        <v>10.063051481831778</v>
      </c>
      <c r="K78" s="2">
        <f t="shared" si="16"/>
        <v>282.70711898565338</v>
      </c>
      <c r="L78" s="2">
        <f t="shared" si="17"/>
        <v>-41.459286051507604</v>
      </c>
      <c r="M78" s="2">
        <f t="shared" si="18"/>
        <v>211.93682280528645</v>
      </c>
      <c r="N78" s="2">
        <f t="shared" si="19"/>
        <v>-187.09916692590855</v>
      </c>
      <c r="O78" s="2">
        <f t="shared" si="20"/>
        <v>213.35738512979333</v>
      </c>
      <c r="P78" s="2">
        <f t="shared" si="21"/>
        <v>-203.71803536149343</v>
      </c>
    </row>
    <row r="79" spans="1:16" x14ac:dyDescent="0.3">
      <c r="A79" s="4">
        <v>77</v>
      </c>
      <c r="B79" s="4">
        <v>-3364</v>
      </c>
      <c r="C79" s="4">
        <v>1987</v>
      </c>
      <c r="D79" s="6">
        <f t="shared" si="11"/>
        <v>3907.0020476063228</v>
      </c>
      <c r="E79" s="2">
        <f t="shared" si="12"/>
        <v>0.21329226941252469</v>
      </c>
      <c r="F79" s="2">
        <f t="shared" si="13"/>
        <v>-30.584401989585739</v>
      </c>
      <c r="G79">
        <v>-1301</v>
      </c>
      <c r="H79">
        <v>-245</v>
      </c>
      <c r="I79" s="2">
        <f t="shared" si="14"/>
        <v>1323.8678181752134</v>
      </c>
      <c r="J79" s="2">
        <f t="shared" si="15"/>
        <v>10.670261063884414</v>
      </c>
      <c r="K79" s="2">
        <f t="shared" si="16"/>
        <v>282.37077134079885</v>
      </c>
      <c r="L79" s="2">
        <f t="shared" si="17"/>
        <v>-41.254663053470153</v>
      </c>
      <c r="M79" s="2">
        <f t="shared" si="18"/>
        <v>212.35038567829693</v>
      </c>
      <c r="N79" s="2">
        <f t="shared" si="19"/>
        <v>-186.11976308247404</v>
      </c>
      <c r="O79" s="2">
        <f t="shared" si="20"/>
        <v>213.8893672291797</v>
      </c>
      <c r="P79" s="2">
        <f t="shared" si="21"/>
        <v>-202.68982317838422</v>
      </c>
    </row>
    <row r="80" spans="1:16" x14ac:dyDescent="0.3">
      <c r="A80" s="4">
        <v>78</v>
      </c>
      <c r="B80" s="4">
        <v>-3394</v>
      </c>
      <c r="C80" s="4">
        <v>1942</v>
      </c>
      <c r="D80" s="6">
        <f t="shared" si="11"/>
        <v>3910.319680026174</v>
      </c>
      <c r="E80" s="2">
        <f t="shared" si="12"/>
        <v>0.2131113058581838</v>
      </c>
      <c r="F80" s="2">
        <f t="shared" si="13"/>
        <v>-29.792698365643677</v>
      </c>
      <c r="G80">
        <v>-1290</v>
      </c>
      <c r="H80">
        <v>-265</v>
      </c>
      <c r="I80" s="2">
        <f t="shared" si="14"/>
        <v>1316.9377358098598</v>
      </c>
      <c r="J80" s="2">
        <f t="shared" si="15"/>
        <v>11.614455522642492</v>
      </c>
      <c r="K80" s="2">
        <f t="shared" si="16"/>
        <v>280.65432061235907</v>
      </c>
      <c r="L80" s="2">
        <f t="shared" si="17"/>
        <v>-41.407153888286167</v>
      </c>
      <c r="M80" s="2">
        <f t="shared" si="18"/>
        <v>210.56673163032627</v>
      </c>
      <c r="N80" s="2">
        <f t="shared" si="19"/>
        <v>-185.54918272228252</v>
      </c>
      <c r="O80" s="2">
        <f t="shared" si="20"/>
        <v>212.00160847754341</v>
      </c>
      <c r="P80" s="2">
        <f t="shared" si="21"/>
        <v>-201.92005705289336</v>
      </c>
    </row>
    <row r="81" spans="1:16" x14ac:dyDescent="0.3">
      <c r="A81" s="4">
        <v>79</v>
      </c>
      <c r="B81" s="4">
        <v>-3423</v>
      </c>
      <c r="C81" s="4">
        <v>1896</v>
      </c>
      <c r="D81" s="6">
        <f t="shared" si="11"/>
        <v>3913.0224890741429</v>
      </c>
      <c r="E81" s="2">
        <f t="shared" si="12"/>
        <v>0.21296410528182466</v>
      </c>
      <c r="F81" s="2">
        <f t="shared" si="13"/>
        <v>-28.996772561848989</v>
      </c>
      <c r="G81">
        <v>-1274</v>
      </c>
      <c r="H81">
        <v>-286</v>
      </c>
      <c r="I81" s="2">
        <f t="shared" si="14"/>
        <v>1305.7074710669308</v>
      </c>
      <c r="J81" s="2">
        <f t="shared" si="15"/>
        <v>12.658974060918059</v>
      </c>
      <c r="K81" s="2">
        <f t="shared" si="16"/>
        <v>278.06882333556285</v>
      </c>
      <c r="L81" s="2">
        <f t="shared" si="17"/>
        <v>-41.655746622767047</v>
      </c>
      <c r="M81" s="2">
        <f t="shared" si="18"/>
        <v>207.82771656659642</v>
      </c>
      <c r="N81" s="2">
        <f t="shared" si="19"/>
        <v>-184.7428232379784</v>
      </c>
      <c r="O81" s="2">
        <f t="shared" si="20"/>
        <v>209.09918388723236</v>
      </c>
      <c r="P81" s="2">
        <f t="shared" si="21"/>
        <v>-200.81575386694882</v>
      </c>
    </row>
    <row r="82" spans="1:16" x14ac:dyDescent="0.3">
      <c r="A82" s="4">
        <v>80</v>
      </c>
      <c r="B82" s="4">
        <v>-3453</v>
      </c>
      <c r="C82" s="4">
        <v>1851</v>
      </c>
      <c r="D82" s="6">
        <f t="shared" si="11"/>
        <v>3917.8323088156799</v>
      </c>
      <c r="E82" s="2">
        <f t="shared" si="12"/>
        <v>0.21270265484773682</v>
      </c>
      <c r="F82" s="2">
        <f t="shared" si="13"/>
        <v>-28.208083462557568</v>
      </c>
      <c r="G82">
        <v>-1270</v>
      </c>
      <c r="H82">
        <v>-308</v>
      </c>
      <c r="I82" s="2">
        <f t="shared" si="14"/>
        <v>1306.8144474254943</v>
      </c>
      <c r="J82" s="2">
        <f t="shared" si="15"/>
        <v>13.639074095560458</v>
      </c>
      <c r="K82" s="2">
        <f t="shared" si="16"/>
        <v>277.96290236078084</v>
      </c>
      <c r="L82" s="2">
        <f t="shared" si="17"/>
        <v>-41.847157558118028</v>
      </c>
      <c r="M82" s="2">
        <f t="shared" si="18"/>
        <v>207.13076268078055</v>
      </c>
      <c r="N82" s="2">
        <f t="shared" si="19"/>
        <v>-185.36510523857274</v>
      </c>
      <c r="O82" s="2">
        <f t="shared" si="20"/>
        <v>208.29181121646798</v>
      </c>
      <c r="P82" s="2">
        <f t="shared" si="21"/>
        <v>-201.4316502069502</v>
      </c>
    </row>
    <row r="83" spans="1:16" x14ac:dyDescent="0.3">
      <c r="A83" s="4">
        <v>81</v>
      </c>
      <c r="B83" s="4">
        <v>-3482</v>
      </c>
      <c r="C83" s="4">
        <v>1804</v>
      </c>
      <c r="D83" s="6">
        <f t="shared" si="11"/>
        <v>3921.5736637222562</v>
      </c>
      <c r="E83" s="2">
        <f t="shared" si="12"/>
        <v>0.21249972709740073</v>
      </c>
      <c r="F83" s="2">
        <f t="shared" si="13"/>
        <v>-27.402251724972853</v>
      </c>
      <c r="G83">
        <v>-1253</v>
      </c>
      <c r="H83">
        <v>-325</v>
      </c>
      <c r="I83" s="2">
        <f t="shared" si="14"/>
        <v>1294.4628229501225</v>
      </c>
      <c r="J83" s="2">
        <f t="shared" si="15"/>
        <v>14.548177894544978</v>
      </c>
      <c r="K83" s="2">
        <f t="shared" si="16"/>
        <v>275.07299661463196</v>
      </c>
      <c r="L83" s="2">
        <f t="shared" si="17"/>
        <v>-41.950429619517834</v>
      </c>
      <c r="M83" s="2">
        <f t="shared" si="18"/>
        <v>204.64647949051744</v>
      </c>
      <c r="N83" s="2">
        <f t="shared" si="19"/>
        <v>-183.80688751700941</v>
      </c>
      <c r="O83" s="2">
        <f t="shared" si="20"/>
        <v>205.7316861272966</v>
      </c>
      <c r="P83" s="2">
        <f t="shared" si="21"/>
        <v>-199.53676707740857</v>
      </c>
    </row>
    <row r="84" spans="1:16" x14ac:dyDescent="0.3">
      <c r="A84" s="4">
        <v>82</v>
      </c>
      <c r="B84" s="4">
        <v>-3508</v>
      </c>
      <c r="C84" s="4">
        <v>1758</v>
      </c>
      <c r="D84" s="6">
        <f t="shared" si="11"/>
        <v>3923.8537179665605</v>
      </c>
      <c r="E84" s="2">
        <f t="shared" si="12"/>
        <v>0.21237624876729289</v>
      </c>
      <c r="F84" s="2">
        <f t="shared" si="13"/>
        <v>-26.63079326179783</v>
      </c>
      <c r="G84">
        <v>-1242</v>
      </c>
      <c r="H84">
        <v>-341</v>
      </c>
      <c r="I84" s="2">
        <f t="shared" si="14"/>
        <v>1287.9615677495972</v>
      </c>
      <c r="J84" s="2">
        <f t="shared" si="15"/>
        <v>15.360447034720877</v>
      </c>
      <c r="K84" s="2">
        <f t="shared" si="16"/>
        <v>273.53244631510103</v>
      </c>
      <c r="L84" s="2">
        <f t="shared" si="17"/>
        <v>-41.991240296518711</v>
      </c>
      <c r="M84" s="2">
        <f t="shared" si="18"/>
        <v>203.37017949644562</v>
      </c>
      <c r="N84" s="2">
        <f t="shared" si="19"/>
        <v>-182.92230393997096</v>
      </c>
      <c r="O84" s="2">
        <f t="shared" si="20"/>
        <v>204.4238673543332</v>
      </c>
      <c r="P84" s="2">
        <f t="shared" si="21"/>
        <v>-198.47377015153654</v>
      </c>
    </row>
    <row r="85" spans="1:16" x14ac:dyDescent="0.3">
      <c r="A85" s="4">
        <v>83</v>
      </c>
      <c r="B85" s="4">
        <v>-3533</v>
      </c>
      <c r="C85" s="4">
        <v>1708</v>
      </c>
      <c r="D85" s="6">
        <f t="shared" si="11"/>
        <v>3924.2009377706436</v>
      </c>
      <c r="E85" s="2">
        <f t="shared" si="12"/>
        <v>0.21235745736474795</v>
      </c>
      <c r="F85" s="2">
        <f t="shared" si="13"/>
        <v>-25.814152337700211</v>
      </c>
      <c r="G85">
        <v>-1226</v>
      </c>
      <c r="H85">
        <v>-362</v>
      </c>
      <c r="I85" s="2">
        <f t="shared" si="14"/>
        <v>1278.3270317098047</v>
      </c>
      <c r="J85" s="2">
        <f t="shared" si="15"/>
        <v>16.458589514234763</v>
      </c>
      <c r="K85" s="2">
        <f t="shared" si="16"/>
        <v>271.46227813451964</v>
      </c>
      <c r="L85" s="2">
        <f t="shared" si="17"/>
        <v>-42.272741851934974</v>
      </c>
      <c r="M85" s="2">
        <f t="shared" si="18"/>
        <v>200.93712162236079</v>
      </c>
      <c r="N85" s="2">
        <f t="shared" si="19"/>
        <v>-182.5268243412564</v>
      </c>
      <c r="O85" s="2">
        <f t="shared" si="20"/>
        <v>201.82555075786786</v>
      </c>
      <c r="P85" s="2">
        <f t="shared" si="21"/>
        <v>-197.84543829065592</v>
      </c>
    </row>
    <row r="86" spans="1:16" x14ac:dyDescent="0.3">
      <c r="A86" s="4">
        <v>84</v>
      </c>
      <c r="B86" s="4">
        <v>-3561</v>
      </c>
      <c r="C86" s="4">
        <v>1664</v>
      </c>
      <c r="D86" s="6">
        <f t="shared" si="11"/>
        <v>3930.6000814125064</v>
      </c>
      <c r="E86" s="2">
        <f t="shared" si="12"/>
        <v>0.21201173257846814</v>
      </c>
      <c r="F86" s="2">
        <f t="shared" si="13"/>
        <v>-25.058657607317389</v>
      </c>
      <c r="G86">
        <v>-1214</v>
      </c>
      <c r="H86">
        <v>-380</v>
      </c>
      <c r="I86" s="2">
        <f t="shared" si="14"/>
        <v>1272.0833306037778</v>
      </c>
      <c r="J86" s="2">
        <f t="shared" si="15"/>
        <v>17.389709627874645</v>
      </c>
      <c r="K86" s="2">
        <f t="shared" si="16"/>
        <v>269.69659090549521</v>
      </c>
      <c r="L86" s="2">
        <f t="shared" si="17"/>
        <v>-42.448367235192038</v>
      </c>
      <c r="M86" s="2">
        <f t="shared" si="18"/>
        <v>199.07365125405161</v>
      </c>
      <c r="N86" s="2">
        <f t="shared" si="19"/>
        <v>-181.95035730227704</v>
      </c>
      <c r="O86" s="2">
        <f t="shared" si="20"/>
        <v>199.85963425453792</v>
      </c>
      <c r="P86" s="2">
        <f t="shared" si="21"/>
        <v>-197.06953401220915</v>
      </c>
    </row>
    <row r="87" spans="1:16" x14ac:dyDescent="0.3">
      <c r="A87" s="4">
        <v>85</v>
      </c>
      <c r="B87" s="4">
        <v>-3588</v>
      </c>
      <c r="C87" s="4">
        <v>1617</v>
      </c>
      <c r="D87" s="6">
        <f t="shared" si="11"/>
        <v>3935.5346523693574</v>
      </c>
      <c r="E87" s="2">
        <f t="shared" si="12"/>
        <v>0.21174590162270115</v>
      </c>
      <c r="F87" s="2">
        <f t="shared" si="13"/>
        <v>-24.271913213232633</v>
      </c>
      <c r="G87">
        <v>-1202</v>
      </c>
      <c r="H87">
        <v>-397</v>
      </c>
      <c r="I87" s="2">
        <f t="shared" si="14"/>
        <v>1265.8645267168206</v>
      </c>
      <c r="J87" s="2">
        <f t="shared" si="15"/>
        <v>18.286774524894984</v>
      </c>
      <c r="K87" s="2">
        <f t="shared" si="16"/>
        <v>268.04162554184705</v>
      </c>
      <c r="L87" s="2">
        <f t="shared" si="17"/>
        <v>-42.558687738127617</v>
      </c>
      <c r="M87" s="2">
        <f t="shared" si="18"/>
        <v>197.50367903583279</v>
      </c>
      <c r="N87" s="2">
        <f t="shared" si="19"/>
        <v>-181.21426486462511</v>
      </c>
      <c r="O87" s="2">
        <f t="shared" si="20"/>
        <v>198.2247983769148</v>
      </c>
      <c r="P87" s="2">
        <f t="shared" si="21"/>
        <v>-196.14642520950827</v>
      </c>
    </row>
    <row r="88" spans="1:16" x14ac:dyDescent="0.3">
      <c r="A88" s="4">
        <v>86</v>
      </c>
      <c r="B88" s="4">
        <v>-3618</v>
      </c>
      <c r="C88" s="4">
        <v>1567</v>
      </c>
      <c r="D88" s="6">
        <f t="shared" si="11"/>
        <v>3942.7671754746057</v>
      </c>
      <c r="E88" s="2">
        <f t="shared" si="12"/>
        <v>0.2113574797205777</v>
      </c>
      <c r="F88" s="2">
        <f t="shared" si="13"/>
        <v>-23.429903732206611</v>
      </c>
      <c r="G88">
        <v>-1188</v>
      </c>
      <c r="H88">
        <v>-411</v>
      </c>
      <c r="I88" s="2">
        <f t="shared" si="14"/>
        <v>1257.0859159182398</v>
      </c>
      <c r="J88" s="2">
        <f t="shared" si="15"/>
        <v>19.093232036757396</v>
      </c>
      <c r="K88" s="2">
        <f t="shared" si="16"/>
        <v>265.69451098071323</v>
      </c>
      <c r="L88" s="2">
        <f t="shared" si="17"/>
        <v>-42.523135768964011</v>
      </c>
      <c r="M88" s="2">
        <f t="shared" si="18"/>
        <v>195.88559660653596</v>
      </c>
      <c r="N88" s="2">
        <f t="shared" si="19"/>
        <v>-179.50600604821503</v>
      </c>
      <c r="O88" s="2">
        <f t="shared" si="20"/>
        <v>196.61749915077962</v>
      </c>
      <c r="P88" s="2">
        <f t="shared" si="21"/>
        <v>-194.1719063921343</v>
      </c>
    </row>
    <row r="89" spans="1:16" x14ac:dyDescent="0.3">
      <c r="A89" s="4">
        <v>87</v>
      </c>
      <c r="B89" s="4">
        <v>-3638</v>
      </c>
      <c r="C89" s="4">
        <v>1521</v>
      </c>
      <c r="D89" s="6">
        <f t="shared" si="11"/>
        <v>3943.1567303367488</v>
      </c>
      <c r="E89" s="2">
        <f t="shared" si="12"/>
        <v>0.21133659915723563</v>
      </c>
      <c r="F89" s="2">
        <f t="shared" si="13"/>
        <v>-22.700672232322418</v>
      </c>
      <c r="G89">
        <v>-1174</v>
      </c>
      <c r="H89">
        <v>-429</v>
      </c>
      <c r="I89" s="2">
        <f t="shared" si="14"/>
        <v>1249.9267978565786</v>
      </c>
      <c r="J89" s="2">
        <f t="shared" si="15"/>
        <v>20.083363245123785</v>
      </c>
      <c r="K89" s="2">
        <f t="shared" si="16"/>
        <v>264.15527865450281</v>
      </c>
      <c r="L89" s="2">
        <f t="shared" si="17"/>
        <v>-42.784035477446203</v>
      </c>
      <c r="M89" s="2">
        <f t="shared" si="18"/>
        <v>193.93652607740668</v>
      </c>
      <c r="N89" s="2">
        <f t="shared" si="19"/>
        <v>-179.35059267832204</v>
      </c>
      <c r="O89" s="2">
        <f t="shared" si="20"/>
        <v>194.52843943042626</v>
      </c>
      <c r="P89" s="2">
        <f t="shared" si="21"/>
        <v>-193.84715981203271</v>
      </c>
    </row>
    <row r="90" spans="1:16" x14ac:dyDescent="0.3">
      <c r="A90" s="4">
        <v>88</v>
      </c>
      <c r="B90" s="4">
        <v>-3661</v>
      </c>
      <c r="C90" s="4">
        <v>1470</v>
      </c>
      <c r="D90" s="6">
        <f t="shared" si="11"/>
        <v>3945.100885909003</v>
      </c>
      <c r="E90" s="2">
        <f t="shared" si="12"/>
        <v>0.21123245195320842</v>
      </c>
      <c r="F90" s="2">
        <f t="shared" si="13"/>
        <v>-21.888019118731854</v>
      </c>
      <c r="G90">
        <v>-1163</v>
      </c>
      <c r="H90">
        <v>-448</v>
      </c>
      <c r="I90" s="2">
        <f t="shared" si="14"/>
        <v>1246.3037350501684</v>
      </c>
      <c r="J90" s="2">
        <f t="shared" si="15"/>
        <v>21.077902365298311</v>
      </c>
      <c r="K90" s="2">
        <f t="shared" si="16"/>
        <v>263.25979383308891</v>
      </c>
      <c r="L90" s="2">
        <f t="shared" si="17"/>
        <v>-42.965921484030162</v>
      </c>
      <c r="M90" s="2">
        <f t="shared" si="18"/>
        <v>192.7109780218282</v>
      </c>
      <c r="N90" s="2">
        <f t="shared" si="19"/>
        <v>-179.35494974745171</v>
      </c>
      <c r="O90" s="2">
        <f t="shared" si="20"/>
        <v>193.20750144536214</v>
      </c>
      <c r="P90" s="2">
        <f t="shared" si="21"/>
        <v>-193.75316653346238</v>
      </c>
    </row>
    <row r="91" spans="1:16" x14ac:dyDescent="0.3">
      <c r="A91" s="4">
        <v>89</v>
      </c>
      <c r="B91" s="4">
        <v>-3682</v>
      </c>
      <c r="C91" s="4">
        <v>1421</v>
      </c>
      <c r="D91" s="6">
        <f t="shared" si="11"/>
        <v>3946.6903856269241</v>
      </c>
      <c r="E91" s="2">
        <f t="shared" si="12"/>
        <v>0.21114737967998976</v>
      </c>
      <c r="F91" s="2">
        <f t="shared" si="13"/>
        <v>-21.113879167689682</v>
      </c>
      <c r="G91">
        <v>-1148</v>
      </c>
      <c r="H91">
        <v>-460</v>
      </c>
      <c r="I91" s="2">
        <f t="shared" si="14"/>
        <v>1236.7311753166086</v>
      </c>
      <c r="J91" s="2">
        <f t="shared" si="15"/>
        <v>21.846896807431474</v>
      </c>
      <c r="K91" s="2">
        <f t="shared" si="16"/>
        <v>261.13254703665592</v>
      </c>
      <c r="L91" s="2">
        <f t="shared" si="17"/>
        <v>-42.960775975121152</v>
      </c>
      <c r="M91" s="2">
        <f t="shared" si="18"/>
        <v>191.16976265001497</v>
      </c>
      <c r="N91" s="2">
        <f t="shared" si="19"/>
        <v>-177.8885296195015</v>
      </c>
      <c r="O91" s="2">
        <f t="shared" si="20"/>
        <v>191.66516756321107</v>
      </c>
      <c r="P91" s="2">
        <f t="shared" si="21"/>
        <v>-192.05038176675976</v>
      </c>
    </row>
    <row r="92" spans="1:16" x14ac:dyDescent="0.3">
      <c r="A92" s="4">
        <v>90</v>
      </c>
      <c r="B92" s="4">
        <v>-3712</v>
      </c>
      <c r="C92" s="4">
        <v>1373</v>
      </c>
      <c r="D92" s="6">
        <f t="shared" si="11"/>
        <v>3957.7863762461966</v>
      </c>
      <c r="E92" s="2">
        <f t="shared" si="12"/>
        <v>0.21055541004810799</v>
      </c>
      <c r="F92" s="2">
        <f t="shared" si="13"/>
        <v>-20.308795450397536</v>
      </c>
      <c r="G92">
        <v>-1138</v>
      </c>
      <c r="H92">
        <v>-478</v>
      </c>
      <c r="I92" s="2">
        <f t="shared" si="14"/>
        <v>1234.3127642538579</v>
      </c>
      <c r="J92" s="2">
        <f t="shared" si="15"/>
        <v>22.795674071678199</v>
      </c>
      <c r="K92" s="2">
        <f t="shared" si="16"/>
        <v>259.8912302050847</v>
      </c>
      <c r="L92" s="2">
        <f t="shared" si="17"/>
        <v>-43.104469522075732</v>
      </c>
      <c r="M92" s="2">
        <f t="shared" si="18"/>
        <v>189.81663751609599</v>
      </c>
      <c r="N92" s="2">
        <f t="shared" si="19"/>
        <v>-177.51928250079018</v>
      </c>
      <c r="O92" s="2">
        <f t="shared" si="20"/>
        <v>190.23811756721352</v>
      </c>
      <c r="P92" s="2">
        <f t="shared" si="21"/>
        <v>-191.54516100671137</v>
      </c>
    </row>
    <row r="93" spans="1:16" x14ac:dyDescent="0.3">
      <c r="A93" s="4">
        <v>91</v>
      </c>
      <c r="B93" s="4">
        <v>-3732</v>
      </c>
      <c r="C93" s="4">
        <v>1317</v>
      </c>
      <c r="D93" s="6">
        <f t="shared" si="11"/>
        <v>3957.5640234871753</v>
      </c>
      <c r="E93" s="2">
        <f t="shared" si="12"/>
        <v>0.21056723994550783</v>
      </c>
      <c r="F93" s="2">
        <f t="shared" si="13"/>
        <v>-19.44748466632424</v>
      </c>
      <c r="G93">
        <v>-1128</v>
      </c>
      <c r="H93">
        <v>-496</v>
      </c>
      <c r="I93" s="2">
        <f t="shared" si="14"/>
        <v>1232.233744059949</v>
      </c>
      <c r="J93" s="2">
        <f t="shared" si="15"/>
        <v>23.747914520042048</v>
      </c>
      <c r="K93" s="2">
        <f t="shared" si="16"/>
        <v>259.46805845442276</v>
      </c>
      <c r="L93" s="2">
        <f t="shared" si="17"/>
        <v>-43.195399186366288</v>
      </c>
      <c r="M93" s="2">
        <f t="shared" si="18"/>
        <v>189.226201774923</v>
      </c>
      <c r="N93" s="2">
        <f t="shared" si="19"/>
        <v>-177.53061121942849</v>
      </c>
      <c r="O93" s="2">
        <f t="shared" si="20"/>
        <v>189.60194121076256</v>
      </c>
      <c r="P93" s="2">
        <f t="shared" si="21"/>
        <v>-191.51039796312921</v>
      </c>
    </row>
    <row r="94" spans="1:16" x14ac:dyDescent="0.3">
      <c r="A94" s="4">
        <v>92</v>
      </c>
      <c r="B94" s="4">
        <v>-3752</v>
      </c>
      <c r="C94" s="4">
        <v>1271</v>
      </c>
      <c r="D94" s="6">
        <f t="shared" si="11"/>
        <v>3961.4321905088823</v>
      </c>
      <c r="E94" s="2">
        <f t="shared" si="12"/>
        <v>0.21036163015232229</v>
      </c>
      <c r="F94" s="2">
        <f t="shared" si="13"/>
        <v>-18.723439365941818</v>
      </c>
      <c r="G94">
        <v>-1110</v>
      </c>
      <c r="H94">
        <v>-510</v>
      </c>
      <c r="I94" s="2">
        <f t="shared" si="14"/>
        <v>1221.5563842901399</v>
      </c>
      <c r="J94" s="2">
        <f t="shared" si="15"/>
        <v>24.689379633621478</v>
      </c>
      <c r="K94" s="2">
        <f t="shared" si="16"/>
        <v>256.96859232225052</v>
      </c>
      <c r="L94" s="2">
        <f t="shared" si="17"/>
        <v>-43.412818999563299</v>
      </c>
      <c r="M94" s="2">
        <f t="shared" si="18"/>
        <v>186.73518577934226</v>
      </c>
      <c r="N94" s="2">
        <f t="shared" si="19"/>
        <v>-176.52996298655228</v>
      </c>
      <c r="O94" s="2">
        <f t="shared" si="20"/>
        <v>187.00267301185158</v>
      </c>
      <c r="P94" s="2">
        <f t="shared" si="21"/>
        <v>-190.23706885451918</v>
      </c>
    </row>
    <row r="95" spans="1:16" x14ac:dyDescent="0.3">
      <c r="A95" s="4">
        <v>93</v>
      </c>
      <c r="B95" s="4">
        <v>-3773</v>
      </c>
      <c r="C95" s="4">
        <v>1219</v>
      </c>
      <c r="D95" s="6">
        <f t="shared" si="11"/>
        <v>3965.0334172614484</v>
      </c>
      <c r="E95" s="2">
        <f t="shared" si="12"/>
        <v>0.21017056998952011</v>
      </c>
      <c r="F95" s="2">
        <f t="shared" si="13"/>
        <v>-17.913952207208109</v>
      </c>
      <c r="G95">
        <v>-1095</v>
      </c>
      <c r="H95">
        <v>-522</v>
      </c>
      <c r="I95" s="2">
        <f t="shared" si="14"/>
        <v>1213.0577067889228</v>
      </c>
      <c r="J95" s="2">
        <f t="shared" si="15"/>
        <v>25.500641019587697</v>
      </c>
      <c r="K95" s="2">
        <f t="shared" si="16"/>
        <v>254.94902966600807</v>
      </c>
      <c r="L95" s="2">
        <f t="shared" si="17"/>
        <v>-43.414593226795802</v>
      </c>
      <c r="M95" s="2">
        <f t="shared" si="18"/>
        <v>185.26217934814071</v>
      </c>
      <c r="N95" s="2">
        <f t="shared" si="19"/>
        <v>-175.14831609472131</v>
      </c>
      <c r="O95" s="2">
        <f t="shared" si="20"/>
        <v>185.52858267451666</v>
      </c>
      <c r="P95" s="2">
        <f t="shared" si="21"/>
        <v>-188.63677175126509</v>
      </c>
    </row>
    <row r="96" spans="1:16" x14ac:dyDescent="0.3">
      <c r="A96" s="4">
        <v>94</v>
      </c>
      <c r="B96" s="4">
        <v>-3794</v>
      </c>
      <c r="C96" s="4">
        <v>1168</v>
      </c>
      <c r="D96" s="6">
        <f t="shared" si="11"/>
        <v>3969.7178741064208</v>
      </c>
      <c r="E96" s="2">
        <f t="shared" si="12"/>
        <v>0.20992255867072562</v>
      </c>
      <c r="F96" s="2">
        <f t="shared" si="13"/>
        <v>-17.119897234164331</v>
      </c>
      <c r="G96">
        <v>-1082</v>
      </c>
      <c r="H96">
        <v>-542</v>
      </c>
      <c r="I96" s="2">
        <f t="shared" si="14"/>
        <v>1210.1603199576493</v>
      </c>
      <c r="J96" s="2">
        <f t="shared" si="15"/>
        <v>26.620894041380176</v>
      </c>
      <c r="K96" s="2">
        <f t="shared" si="16"/>
        <v>254.03995076729373</v>
      </c>
      <c r="L96" s="2">
        <f t="shared" si="17"/>
        <v>-43.74079127554451</v>
      </c>
      <c r="M96" s="2">
        <f t="shared" si="18"/>
        <v>183.60550114455583</v>
      </c>
      <c r="N96" s="2">
        <f t="shared" si="19"/>
        <v>-175.57140010635422</v>
      </c>
      <c r="O96" s="2">
        <f t="shared" si="20"/>
        <v>183.71653287615572</v>
      </c>
      <c r="P96" s="2">
        <f t="shared" si="21"/>
        <v>-188.96134227538872</v>
      </c>
    </row>
    <row r="97" spans="1:16" x14ac:dyDescent="0.3">
      <c r="A97" s="4">
        <v>95</v>
      </c>
      <c r="B97" s="4">
        <v>-3814</v>
      </c>
      <c r="C97" s="4">
        <v>1115</v>
      </c>
      <c r="D97" s="6">
        <f t="shared" si="11"/>
        <v>3973.6407738999255</v>
      </c>
      <c r="E97" s="2">
        <f t="shared" si="12"/>
        <v>0.20971531669569096</v>
      </c>
      <c r="F97" s="2">
        <f t="shared" si="13"/>
        <v>-16.304229288420263</v>
      </c>
      <c r="G97">
        <v>-1073</v>
      </c>
      <c r="H97">
        <v>-556</v>
      </c>
      <c r="I97" s="2">
        <f t="shared" si="14"/>
        <v>1208.4970004100135</v>
      </c>
      <c r="J97" s="2">
        <f t="shared" si="15"/>
        <v>27.405880484239972</v>
      </c>
      <c r="K97" s="2">
        <f t="shared" si="16"/>
        <v>253.44033116677855</v>
      </c>
      <c r="L97" s="2">
        <f t="shared" si="17"/>
        <v>-43.710109772660232</v>
      </c>
      <c r="M97" s="2">
        <f t="shared" si="18"/>
        <v>183.26585209547346</v>
      </c>
      <c r="N97" s="2">
        <f t="shared" si="19"/>
        <v>-175.0589298426288</v>
      </c>
      <c r="O97" s="2">
        <f t="shared" si="20"/>
        <v>183.39206763812308</v>
      </c>
      <c r="P97" s="2">
        <f t="shared" si="21"/>
        <v>-188.38471056374493</v>
      </c>
    </row>
    <row r="98" spans="1:16" x14ac:dyDescent="0.3">
      <c r="A98" s="4">
        <v>96</v>
      </c>
      <c r="B98" s="4">
        <v>-3832</v>
      </c>
      <c r="C98" s="4">
        <v>1064</v>
      </c>
      <c r="D98" s="6">
        <f t="shared" si="11"/>
        <v>3976.973723825693</v>
      </c>
      <c r="E98" s="2">
        <f t="shared" si="12"/>
        <v>0.20953956229102247</v>
      </c>
      <c r="F98" s="2">
        <f t="shared" si="13"/>
        <v>-15.525812461547158</v>
      </c>
      <c r="G98">
        <v>-1054</v>
      </c>
      <c r="H98">
        <v>-565</v>
      </c>
      <c r="I98" s="2">
        <f t="shared" si="14"/>
        <v>1195.885027918654</v>
      </c>
      <c r="J98" s="2">
        <f t="shared" si="15"/>
        <v>28.207973346641921</v>
      </c>
      <c r="K98" s="2">
        <f t="shared" si="16"/>
        <v>250.58522530046196</v>
      </c>
      <c r="L98" s="2">
        <f t="shared" si="17"/>
        <v>-43.733785808189083</v>
      </c>
      <c r="M98" s="2">
        <f t="shared" si="18"/>
        <v>181.12978661703019</v>
      </c>
      <c r="N98" s="2">
        <f t="shared" si="19"/>
        <v>-173.16164569255051</v>
      </c>
      <c r="O98" s="2">
        <f t="shared" si="20"/>
        <v>181.24769498073147</v>
      </c>
      <c r="P98" s="2">
        <f t="shared" si="21"/>
        <v>-186.18334544721941</v>
      </c>
    </row>
    <row r="99" spans="1:16" x14ac:dyDescent="0.3">
      <c r="A99" s="4">
        <v>97</v>
      </c>
      <c r="B99" s="4">
        <v>-3847</v>
      </c>
      <c r="C99" s="4">
        <v>1008</v>
      </c>
      <c r="D99" s="6">
        <f t="shared" si="11"/>
        <v>3976.8672343944299</v>
      </c>
      <c r="E99" s="2">
        <f t="shared" si="12"/>
        <v>0.20954517317705418</v>
      </c>
      <c r="F99" s="2">
        <f t="shared" si="13"/>
        <v>-14.690145333399061</v>
      </c>
      <c r="G99">
        <v>-1047</v>
      </c>
      <c r="H99">
        <v>-582</v>
      </c>
      <c r="I99" s="2">
        <f t="shared" si="14"/>
        <v>1197.8868894849797</v>
      </c>
      <c r="J99" s="2">
        <f t="shared" si="15"/>
        <v>29.083285272903925</v>
      </c>
      <c r="K99" s="2">
        <f t="shared" si="16"/>
        <v>251.01141570365283</v>
      </c>
      <c r="L99" s="2">
        <f t="shared" si="17"/>
        <v>-43.773430606302988</v>
      </c>
      <c r="M99" s="2">
        <f t="shared" si="18"/>
        <v>181.31784613713418</v>
      </c>
      <c r="N99" s="2">
        <f t="shared" si="19"/>
        <v>-173.58159316512376</v>
      </c>
      <c r="O99" s="2">
        <f t="shared" si="20"/>
        <v>181.41693136307094</v>
      </c>
      <c r="P99" s="2">
        <f t="shared" si="21"/>
        <v>-186.64825300372871</v>
      </c>
    </row>
    <row r="100" spans="1:16" x14ac:dyDescent="0.3">
      <c r="A100" s="4">
        <v>98</v>
      </c>
      <c r="B100" s="4">
        <v>-3866</v>
      </c>
      <c r="C100" s="4">
        <v>957</v>
      </c>
      <c r="D100" s="6">
        <f t="shared" si="11"/>
        <v>3982.6881625354499</v>
      </c>
      <c r="E100" s="2">
        <f t="shared" si="12"/>
        <v>0.20923891083725185</v>
      </c>
      <c r="F100" s="2">
        <f t="shared" si="13"/>
        <v>-13.910707105022089</v>
      </c>
      <c r="G100">
        <v>-1029</v>
      </c>
      <c r="H100">
        <v>-593</v>
      </c>
      <c r="I100" s="2">
        <f t="shared" si="14"/>
        <v>1187.6405180019751</v>
      </c>
      <c r="J100" s="2">
        <f t="shared" si="15"/>
        <v>29.969509898213683</v>
      </c>
      <c r="K100" s="2">
        <f t="shared" si="16"/>
        <v>248.50060845292288</v>
      </c>
      <c r="L100" s="2">
        <f t="shared" si="17"/>
        <v>-43.880217003235771</v>
      </c>
      <c r="M100" s="2">
        <f t="shared" si="18"/>
        <v>179.18373728588898</v>
      </c>
      <c r="N100" s="2">
        <f t="shared" si="19"/>
        <v>-172.17938521708805</v>
      </c>
      <c r="O100" s="2">
        <f t="shared" si="20"/>
        <v>179.23703795046822</v>
      </c>
      <c r="P100" s="2">
        <f t="shared" si="21"/>
        <v>-184.98067557252759</v>
      </c>
    </row>
    <row r="101" spans="1:16" x14ac:dyDescent="0.3">
      <c r="A101" s="4">
        <v>99</v>
      </c>
      <c r="B101" s="4">
        <v>-3885</v>
      </c>
      <c r="C101" s="4">
        <v>904</v>
      </c>
      <c r="D101" s="6">
        <f t="shared" si="11"/>
        <v>3988.7894153489729</v>
      </c>
      <c r="E101" s="2">
        <f t="shared" si="12"/>
        <v>0.20891885897175808</v>
      </c>
      <c r="F101" s="2">
        <f t="shared" si="13"/>
        <v>-13.105695201937513</v>
      </c>
      <c r="G101">
        <v>-1012</v>
      </c>
      <c r="H101">
        <v>-609</v>
      </c>
      <c r="I101" s="2">
        <f t="shared" si="14"/>
        <v>1181.1117643982723</v>
      </c>
      <c r="J101" s="2">
        <f t="shared" si="15"/>
        <v>31.054374427553768</v>
      </c>
      <c r="K101" s="2">
        <f t="shared" si="16"/>
        <v>246.756522136207</v>
      </c>
      <c r="L101" s="2">
        <f t="shared" si="17"/>
        <v>-44.160069629491282</v>
      </c>
      <c r="M101" s="2">
        <f t="shared" si="18"/>
        <v>177.08937168994873</v>
      </c>
      <c r="N101" s="2">
        <f t="shared" si="19"/>
        <v>-171.83752690031241</v>
      </c>
      <c r="O101" s="2">
        <f t="shared" si="20"/>
        <v>177.01980506133532</v>
      </c>
      <c r="P101" s="2">
        <f t="shared" si="21"/>
        <v>-184.45423284308208</v>
      </c>
    </row>
    <row r="102" spans="1:16" x14ac:dyDescent="0.3">
      <c r="A102" s="4">
        <v>100</v>
      </c>
      <c r="B102" s="4">
        <v>-3900</v>
      </c>
      <c r="C102" s="4">
        <v>852</v>
      </c>
      <c r="D102" s="6">
        <f t="shared" si="11"/>
        <v>3991.9799598695381</v>
      </c>
      <c r="E102" s="2">
        <f t="shared" si="12"/>
        <v>0.20875188295298144</v>
      </c>
      <c r="F102" s="2">
        <f t="shared" si="13"/>
        <v>-12.329564020213825</v>
      </c>
      <c r="G102">
        <v>-995</v>
      </c>
      <c r="H102">
        <v>-622</v>
      </c>
      <c r="I102" s="2">
        <f t="shared" si="14"/>
        <v>1173.4176579547454</v>
      </c>
      <c r="J102" s="2">
        <f t="shared" si="15"/>
        <v>32.026795198853065</v>
      </c>
      <c r="K102" s="2">
        <f t="shared" si="16"/>
        <v>244.95314558833064</v>
      </c>
      <c r="L102" s="2">
        <f t="shared" si="17"/>
        <v>-44.356359219066888</v>
      </c>
      <c r="M102" s="2">
        <f t="shared" si="18"/>
        <v>175.21001632539961</v>
      </c>
      <c r="N102" s="2">
        <f t="shared" si="19"/>
        <v>-171.18263262630094</v>
      </c>
      <c r="O102" s="2">
        <f t="shared" si="20"/>
        <v>175.05823610485913</v>
      </c>
      <c r="P102" s="2">
        <f t="shared" si="21"/>
        <v>-183.61008372351111</v>
      </c>
    </row>
  </sheetData>
  <mergeCells count="2">
    <mergeCell ref="B5:F5"/>
    <mergeCell ref="G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R=560 ohm</vt:lpstr>
      <vt:lpstr>Apple bioimpedance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 Simić</dc:creator>
  <cp:lastModifiedBy>Mitar Simić</cp:lastModifiedBy>
  <dcterms:created xsi:type="dcterms:W3CDTF">2025-05-28T12:33:29Z</dcterms:created>
  <dcterms:modified xsi:type="dcterms:W3CDTF">2025-06-16T08:07:08Z</dcterms:modified>
</cp:coreProperties>
</file>